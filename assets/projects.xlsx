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ebsystem\Downloads\"/>
    </mc:Choice>
  </mc:AlternateContent>
  <xr:revisionPtr revIDLastSave="0" documentId="13_ncr:1_{2B27A596-D89B-4404-AFA4-8DD9FEF31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" sheetId="2" r:id="rId1"/>
  </sheets>
  <externalReferences>
    <externalReference r:id="rId2"/>
  </externalReferences>
  <definedNames>
    <definedName name="_xlnm._FilterDatabase" localSheetId="0" hidden="1">Projects!$A$1:$AE$686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82" i="2" l="1"/>
  <c r="U535" i="2"/>
  <c r="U504" i="2"/>
  <c r="U459" i="2"/>
  <c r="U428" i="2"/>
  <c r="U424" i="2"/>
  <c r="T424" i="2" s="1"/>
  <c r="U385" i="2"/>
  <c r="U370" i="2"/>
  <c r="T370" i="2" s="1"/>
  <c r="U309" i="2"/>
  <c r="T309" i="2" s="1"/>
  <c r="U292" i="2"/>
  <c r="T292" i="2" s="1"/>
  <c r="U270" i="2"/>
  <c r="T270" i="2" s="1"/>
  <c r="U191" i="2"/>
  <c r="T191" i="2" s="1"/>
  <c r="U183" i="2"/>
  <c r="T183" i="2" s="1"/>
  <c r="U173" i="2"/>
  <c r="T173" i="2" s="1"/>
  <c r="U122" i="2"/>
  <c r="T122" i="2" s="1"/>
  <c r="U124" i="2"/>
  <c r="T124" i="2" s="1"/>
  <c r="U131" i="2"/>
  <c r="T131" i="2" s="1"/>
  <c r="U125" i="2"/>
  <c r="T125" i="2" s="1"/>
  <c r="U123" i="2"/>
  <c r="U121" i="2"/>
  <c r="T121" i="2" s="1"/>
  <c r="U113" i="2"/>
  <c r="T113" i="2" s="1"/>
  <c r="U56" i="2"/>
  <c r="T56" i="2" s="1"/>
  <c r="U109" i="2"/>
  <c r="T109" i="2" s="1"/>
  <c r="U104" i="2"/>
  <c r="T104" i="2" s="1"/>
  <c r="U85" i="2"/>
  <c r="T85" i="2" s="1"/>
  <c r="U6" i="2"/>
  <c r="T6" i="2" s="1"/>
  <c r="U686" i="2"/>
  <c r="T686" i="2" s="1"/>
  <c r="U685" i="2"/>
  <c r="T685" i="2" s="1"/>
  <c r="U684" i="2"/>
  <c r="T684" i="2" s="1"/>
  <c r="U683" i="2"/>
  <c r="T683" i="2" s="1"/>
  <c r="U682" i="2"/>
  <c r="T682" i="2" s="1"/>
  <c r="U681" i="2"/>
  <c r="T681" i="2" s="1"/>
  <c r="U680" i="2"/>
  <c r="T680" i="2" s="1"/>
  <c r="U679" i="2"/>
  <c r="T679" i="2" s="1"/>
  <c r="U678" i="2"/>
  <c r="T678" i="2" s="1"/>
  <c r="R678" i="2"/>
  <c r="S678" i="2" s="1"/>
  <c r="U677" i="2"/>
  <c r="T677" i="2" s="1"/>
  <c r="U676" i="2"/>
  <c r="T676" i="2" s="1"/>
  <c r="V675" i="2"/>
  <c r="U675" i="2"/>
  <c r="T675" i="2" s="1"/>
  <c r="U674" i="2"/>
  <c r="T674" i="2" s="1"/>
  <c r="V673" i="2"/>
  <c r="U673" i="2"/>
  <c r="T673" i="2" s="1"/>
  <c r="U672" i="2"/>
  <c r="T672" i="2" s="1"/>
  <c r="R672" i="2"/>
  <c r="S672" i="2" s="1"/>
  <c r="U671" i="2"/>
  <c r="T671" i="2" s="1"/>
  <c r="U670" i="2"/>
  <c r="T670" i="2" s="1"/>
  <c r="U669" i="2"/>
  <c r="T669" i="2" s="1"/>
  <c r="U668" i="2"/>
  <c r="T668" i="2" s="1"/>
  <c r="V667" i="2"/>
  <c r="U667" i="2"/>
  <c r="T667" i="2" s="1"/>
  <c r="U666" i="2"/>
  <c r="T666" i="2" s="1"/>
  <c r="U665" i="2"/>
  <c r="T665" i="2" s="1"/>
  <c r="U664" i="2"/>
  <c r="T664" i="2" s="1"/>
  <c r="U663" i="2"/>
  <c r="T663" i="2" s="1"/>
  <c r="U662" i="2"/>
  <c r="T662" i="2" s="1"/>
  <c r="V661" i="2"/>
  <c r="U661" i="2"/>
  <c r="T661" i="2" s="1"/>
  <c r="U660" i="2"/>
  <c r="T660" i="2" s="1"/>
  <c r="U659" i="2"/>
  <c r="T659" i="2" s="1"/>
  <c r="U658" i="2"/>
  <c r="T658" i="2" s="1"/>
  <c r="V657" i="2"/>
  <c r="U657" i="2"/>
  <c r="T657" i="2" s="1"/>
  <c r="V656" i="2"/>
  <c r="R656" i="2"/>
  <c r="S656" i="2" s="1"/>
  <c r="U655" i="2"/>
  <c r="T655" i="2" s="1"/>
  <c r="R655" i="2"/>
  <c r="S655" i="2" s="1"/>
  <c r="U654" i="2"/>
  <c r="T654" i="2" s="1"/>
  <c r="R654" i="2"/>
  <c r="S654" i="2" s="1"/>
  <c r="U653" i="2"/>
  <c r="T653" i="2" s="1"/>
  <c r="R653" i="2"/>
  <c r="S653" i="2" s="1"/>
  <c r="U652" i="2"/>
  <c r="T652" i="2" s="1"/>
  <c r="U651" i="2"/>
  <c r="T651" i="2" s="1"/>
  <c r="V650" i="2"/>
  <c r="U650" i="2"/>
  <c r="T650" i="2" s="1"/>
  <c r="U649" i="2"/>
  <c r="T649" i="2" s="1"/>
  <c r="U648" i="2"/>
  <c r="T648" i="2" s="1"/>
  <c r="U647" i="2"/>
  <c r="T647" i="2" s="1"/>
  <c r="U646" i="2"/>
  <c r="T646" i="2" s="1"/>
  <c r="U645" i="2"/>
  <c r="T645" i="2" s="1"/>
  <c r="R644" i="2"/>
  <c r="S644" i="2" s="1"/>
  <c r="R643" i="2"/>
  <c r="S643" i="2" s="1"/>
  <c r="U642" i="2"/>
  <c r="T642" i="2" s="1"/>
  <c r="U641" i="2"/>
  <c r="T641" i="2" s="1"/>
  <c r="U640" i="2"/>
  <c r="T640" i="2" s="1"/>
  <c r="U639" i="2"/>
  <c r="T639" i="2" s="1"/>
  <c r="R639" i="2"/>
  <c r="S639" i="2" s="1"/>
  <c r="U638" i="2"/>
  <c r="T638" i="2" s="1"/>
  <c r="U637" i="2"/>
  <c r="T637" i="2" s="1"/>
  <c r="U636" i="2"/>
  <c r="T636" i="2" s="1"/>
  <c r="U635" i="2"/>
  <c r="T635" i="2" s="1"/>
  <c r="V634" i="2"/>
  <c r="U634" i="2"/>
  <c r="T634" i="2" s="1"/>
  <c r="V633" i="2"/>
  <c r="U633" i="2"/>
  <c r="T633" i="2" s="1"/>
  <c r="U632" i="2"/>
  <c r="T632" i="2" s="1"/>
  <c r="U631" i="2"/>
  <c r="T631" i="2" s="1"/>
  <c r="V630" i="2"/>
  <c r="U630" i="2"/>
  <c r="T630" i="2" s="1"/>
  <c r="U629" i="2"/>
  <c r="T629" i="2" s="1"/>
  <c r="U628" i="2"/>
  <c r="T628" i="2" s="1"/>
  <c r="U627" i="2"/>
  <c r="T627" i="2" s="1"/>
  <c r="U626" i="2"/>
  <c r="T626" i="2" s="1"/>
  <c r="R625" i="2"/>
  <c r="S625" i="2" s="1"/>
  <c r="V624" i="2"/>
  <c r="U624" i="2"/>
  <c r="T624" i="2" s="1"/>
  <c r="R624" i="2"/>
  <c r="S624" i="2" s="1"/>
  <c r="V623" i="2"/>
  <c r="U623" i="2"/>
  <c r="T623" i="2" s="1"/>
  <c r="U622" i="2"/>
  <c r="T622" i="2" s="1"/>
  <c r="U621" i="2"/>
  <c r="T621" i="2" s="1"/>
  <c r="R620" i="2"/>
  <c r="S620" i="2" s="1"/>
  <c r="U619" i="2"/>
  <c r="T619" i="2" s="1"/>
  <c r="R619" i="2"/>
  <c r="S619" i="2" s="1"/>
  <c r="U618" i="2"/>
  <c r="T618" i="2" s="1"/>
  <c r="V617" i="2"/>
  <c r="U617" i="2"/>
  <c r="T617" i="2" s="1"/>
  <c r="U616" i="2"/>
  <c r="T616" i="2" s="1"/>
  <c r="U615" i="2"/>
  <c r="T615" i="2" s="1"/>
  <c r="U614" i="2"/>
  <c r="T614" i="2" s="1"/>
  <c r="R614" i="2"/>
  <c r="S614" i="2" s="1"/>
  <c r="U613" i="2"/>
  <c r="T613" i="2" s="1"/>
  <c r="U612" i="2"/>
  <c r="T612" i="2" s="1"/>
  <c r="V611" i="2"/>
  <c r="U611" i="2"/>
  <c r="T611" i="2" s="1"/>
  <c r="R611" i="2"/>
  <c r="S611" i="2" s="1"/>
  <c r="V610" i="2"/>
  <c r="U610" i="2"/>
  <c r="T610" i="2" s="1"/>
  <c r="R610" i="2"/>
  <c r="S610" i="2" s="1"/>
  <c r="V609" i="2"/>
  <c r="U609" i="2"/>
  <c r="T609" i="2" s="1"/>
  <c r="R609" i="2"/>
  <c r="S609" i="2" s="1"/>
  <c r="V608" i="2"/>
  <c r="U608" i="2"/>
  <c r="T608" i="2" s="1"/>
  <c r="S608" i="2"/>
  <c r="R608" i="2"/>
  <c r="U607" i="2"/>
  <c r="T607" i="2" s="1"/>
  <c r="U606" i="2"/>
  <c r="T606" i="2" s="1"/>
  <c r="V605" i="2"/>
  <c r="U605" i="2"/>
  <c r="T605" i="2" s="1"/>
  <c r="R605" i="2"/>
  <c r="S605" i="2" s="1"/>
  <c r="V604" i="2"/>
  <c r="U604" i="2"/>
  <c r="T604" i="2" s="1"/>
  <c r="R604" i="2"/>
  <c r="S604" i="2" s="1"/>
  <c r="V603" i="2"/>
  <c r="U603" i="2"/>
  <c r="T603" i="2" s="1"/>
  <c r="R603" i="2"/>
  <c r="S603" i="2" s="1"/>
  <c r="U602" i="2"/>
  <c r="T602" i="2" s="1"/>
  <c r="U601" i="2"/>
  <c r="T601" i="2" s="1"/>
  <c r="U600" i="2"/>
  <c r="T600" i="2" s="1"/>
  <c r="U599" i="2"/>
  <c r="T599" i="2" s="1"/>
  <c r="U598" i="2"/>
  <c r="T598" i="2" s="1"/>
  <c r="U597" i="2"/>
  <c r="T597" i="2" s="1"/>
  <c r="R597" i="2"/>
  <c r="S597" i="2" s="1"/>
  <c r="U596" i="2"/>
  <c r="T596" i="2" s="1"/>
  <c r="U595" i="2"/>
  <c r="T595" i="2" s="1"/>
  <c r="R595" i="2"/>
  <c r="S595" i="2" s="1"/>
  <c r="U594" i="2"/>
  <c r="T594" i="2" s="1"/>
  <c r="S594" i="2"/>
  <c r="R594" i="2"/>
  <c r="U593" i="2"/>
  <c r="T593" i="2" s="1"/>
  <c r="R593" i="2"/>
  <c r="S593" i="2" s="1"/>
  <c r="U592" i="2"/>
  <c r="T592" i="2" s="1"/>
  <c r="U591" i="2"/>
  <c r="T591" i="2" s="1"/>
  <c r="U590" i="2"/>
  <c r="T590" i="2" s="1"/>
  <c r="U589" i="2"/>
  <c r="T589" i="2" s="1"/>
  <c r="U588" i="2"/>
  <c r="T588" i="2" s="1"/>
  <c r="U587" i="2"/>
  <c r="T587" i="2" s="1"/>
  <c r="U586" i="2"/>
  <c r="T586" i="2" s="1"/>
  <c r="U585" i="2"/>
  <c r="T585" i="2" s="1"/>
  <c r="U584" i="2"/>
  <c r="T584" i="2" s="1"/>
  <c r="U583" i="2"/>
  <c r="T583" i="2" s="1"/>
  <c r="V582" i="2"/>
  <c r="T582" i="2"/>
  <c r="R582" i="2"/>
  <c r="S582" i="2" s="1"/>
  <c r="U581" i="2"/>
  <c r="T581" i="2" s="1"/>
  <c r="U580" i="2"/>
  <c r="T580" i="2" s="1"/>
  <c r="U579" i="2"/>
  <c r="T579" i="2" s="1"/>
  <c r="R579" i="2"/>
  <c r="S579" i="2" s="1"/>
  <c r="U578" i="2"/>
  <c r="T578" i="2" s="1"/>
  <c r="U577" i="2"/>
  <c r="T577" i="2" s="1"/>
  <c r="U576" i="2"/>
  <c r="T576" i="2" s="1"/>
  <c r="V575" i="2"/>
  <c r="U575" i="2"/>
  <c r="T575" i="2" s="1"/>
  <c r="V574" i="2"/>
  <c r="U574" i="2"/>
  <c r="T574" i="2" s="1"/>
  <c r="V573" i="2"/>
  <c r="U573" i="2"/>
  <c r="T573" i="2" s="1"/>
  <c r="V572" i="2"/>
  <c r="U572" i="2"/>
  <c r="T572" i="2" s="1"/>
  <c r="U571" i="2"/>
  <c r="T571" i="2" s="1"/>
  <c r="U570" i="2"/>
  <c r="T570" i="2" s="1"/>
  <c r="U569" i="2"/>
  <c r="T569" i="2" s="1"/>
  <c r="R569" i="2"/>
  <c r="S569" i="2" s="1"/>
  <c r="U568" i="2"/>
  <c r="T568" i="2" s="1"/>
  <c r="V567" i="2"/>
  <c r="U567" i="2"/>
  <c r="T567" i="2" s="1"/>
  <c r="U566" i="2"/>
  <c r="T566" i="2" s="1"/>
  <c r="U565" i="2"/>
  <c r="T565" i="2" s="1"/>
  <c r="V564" i="2"/>
  <c r="U564" i="2"/>
  <c r="T564" i="2" s="1"/>
  <c r="U563" i="2"/>
  <c r="T563" i="2" s="1"/>
  <c r="U562" i="2"/>
  <c r="T562" i="2" s="1"/>
  <c r="U561" i="2"/>
  <c r="T561" i="2" s="1"/>
  <c r="U560" i="2"/>
  <c r="T560" i="2" s="1"/>
  <c r="U559" i="2"/>
  <c r="T559" i="2" s="1"/>
  <c r="U558" i="2"/>
  <c r="T558" i="2" s="1"/>
  <c r="U557" i="2"/>
  <c r="T557" i="2" s="1"/>
  <c r="U556" i="2"/>
  <c r="T556" i="2" s="1"/>
  <c r="U555" i="2"/>
  <c r="T555" i="2" s="1"/>
  <c r="U554" i="2"/>
  <c r="T554" i="2" s="1"/>
  <c r="U553" i="2"/>
  <c r="T553" i="2" s="1"/>
  <c r="U552" i="2"/>
  <c r="T552" i="2" s="1"/>
  <c r="U551" i="2"/>
  <c r="T551" i="2" s="1"/>
  <c r="V550" i="2"/>
  <c r="U550" i="2"/>
  <c r="T550" i="2" s="1"/>
  <c r="U549" i="2"/>
  <c r="T549" i="2" s="1"/>
  <c r="U548" i="2"/>
  <c r="T548" i="2" s="1"/>
  <c r="U547" i="2"/>
  <c r="T547" i="2" s="1"/>
  <c r="U546" i="2"/>
  <c r="T546" i="2" s="1"/>
  <c r="U545" i="2"/>
  <c r="T545" i="2" s="1"/>
  <c r="U544" i="2"/>
  <c r="T544" i="2" s="1"/>
  <c r="U543" i="2"/>
  <c r="T543" i="2" s="1"/>
  <c r="U542" i="2"/>
  <c r="T542" i="2" s="1"/>
  <c r="U541" i="2"/>
  <c r="T541" i="2" s="1"/>
  <c r="U540" i="2"/>
  <c r="T540" i="2" s="1"/>
  <c r="U539" i="2"/>
  <c r="T539" i="2" s="1"/>
  <c r="V538" i="2"/>
  <c r="U538" i="2"/>
  <c r="T538" i="2" s="1"/>
  <c r="V537" i="2"/>
  <c r="U537" i="2"/>
  <c r="T537" i="2" s="1"/>
  <c r="U536" i="2"/>
  <c r="T536" i="2" s="1"/>
  <c r="V535" i="2"/>
  <c r="T535" i="2"/>
  <c r="R535" i="2"/>
  <c r="S535" i="2" s="1"/>
  <c r="V534" i="2"/>
  <c r="U534" i="2"/>
  <c r="T534" i="2" s="1"/>
  <c r="R534" i="2"/>
  <c r="S534" i="2" s="1"/>
  <c r="U533" i="2"/>
  <c r="T533" i="2" s="1"/>
  <c r="U532" i="2"/>
  <c r="T532" i="2" s="1"/>
  <c r="U531" i="2"/>
  <c r="T531" i="2" s="1"/>
  <c r="V530" i="2"/>
  <c r="U530" i="2"/>
  <c r="T530" i="2" s="1"/>
  <c r="U529" i="2"/>
  <c r="T529" i="2" s="1"/>
  <c r="U528" i="2"/>
  <c r="T528" i="2" s="1"/>
  <c r="U527" i="2"/>
  <c r="T527" i="2" s="1"/>
  <c r="V526" i="2"/>
  <c r="U526" i="2"/>
  <c r="T526" i="2" s="1"/>
  <c r="V525" i="2"/>
  <c r="U525" i="2"/>
  <c r="T525" i="2" s="1"/>
  <c r="U524" i="2"/>
  <c r="T524" i="2" s="1"/>
  <c r="V523" i="2"/>
  <c r="U523" i="2"/>
  <c r="T523" i="2" s="1"/>
  <c r="V522" i="2"/>
  <c r="U522" i="2"/>
  <c r="T522" i="2" s="1"/>
  <c r="R522" i="2"/>
  <c r="S522" i="2" s="1"/>
  <c r="U521" i="2"/>
  <c r="T521" i="2" s="1"/>
  <c r="R521" i="2"/>
  <c r="S521" i="2" s="1"/>
  <c r="U520" i="2"/>
  <c r="T520" i="2" s="1"/>
  <c r="U519" i="2"/>
  <c r="T519" i="2" s="1"/>
  <c r="V518" i="2"/>
  <c r="U518" i="2"/>
  <c r="T518" i="2" s="1"/>
  <c r="V517" i="2"/>
  <c r="U517" i="2"/>
  <c r="T517" i="2" s="1"/>
  <c r="V516" i="2"/>
  <c r="U516" i="2"/>
  <c r="T516" i="2" s="1"/>
  <c r="V515" i="2"/>
  <c r="U515" i="2"/>
  <c r="T515" i="2" s="1"/>
  <c r="U514" i="2"/>
  <c r="T514" i="2" s="1"/>
  <c r="U513" i="2"/>
  <c r="T513" i="2" s="1"/>
  <c r="U512" i="2"/>
  <c r="T512" i="2" s="1"/>
  <c r="V511" i="2"/>
  <c r="U511" i="2"/>
  <c r="T511" i="2" s="1"/>
  <c r="U510" i="2"/>
  <c r="T510" i="2" s="1"/>
  <c r="U509" i="2"/>
  <c r="T509" i="2" s="1"/>
  <c r="U508" i="2"/>
  <c r="T508" i="2" s="1"/>
  <c r="R508" i="2"/>
  <c r="S508" i="2" s="1"/>
  <c r="V507" i="2"/>
  <c r="U507" i="2"/>
  <c r="T507" i="2" s="1"/>
  <c r="V506" i="2"/>
  <c r="U506" i="2"/>
  <c r="T506" i="2" s="1"/>
  <c r="U505" i="2"/>
  <c r="T505" i="2" s="1"/>
  <c r="V504" i="2"/>
  <c r="T504" i="2"/>
  <c r="R504" i="2"/>
  <c r="S504" i="2" s="1"/>
  <c r="U503" i="2"/>
  <c r="T503" i="2" s="1"/>
  <c r="U502" i="2"/>
  <c r="T502" i="2" s="1"/>
  <c r="V501" i="2"/>
  <c r="U501" i="2"/>
  <c r="T501" i="2" s="1"/>
  <c r="V500" i="2"/>
  <c r="U500" i="2"/>
  <c r="T500" i="2" s="1"/>
  <c r="U499" i="2"/>
  <c r="T499" i="2" s="1"/>
  <c r="U498" i="2"/>
  <c r="T498" i="2" s="1"/>
  <c r="U497" i="2"/>
  <c r="T497" i="2" s="1"/>
  <c r="U496" i="2"/>
  <c r="T496" i="2" s="1"/>
  <c r="R496" i="2"/>
  <c r="S496" i="2" s="1"/>
  <c r="U495" i="2"/>
  <c r="T495" i="2" s="1"/>
  <c r="R495" i="2"/>
  <c r="S495" i="2" s="1"/>
  <c r="U494" i="2"/>
  <c r="T494" i="2" s="1"/>
  <c r="U493" i="2"/>
  <c r="T493" i="2" s="1"/>
  <c r="R493" i="2"/>
  <c r="S493" i="2" s="1"/>
  <c r="U492" i="2"/>
  <c r="T492" i="2" s="1"/>
  <c r="R492" i="2"/>
  <c r="S492" i="2" s="1"/>
  <c r="U491" i="2"/>
  <c r="T491" i="2" s="1"/>
  <c r="R491" i="2"/>
  <c r="S491" i="2" s="1"/>
  <c r="V490" i="2"/>
  <c r="U490" i="2"/>
  <c r="T490" i="2" s="1"/>
  <c r="U489" i="2"/>
  <c r="T489" i="2" s="1"/>
  <c r="U488" i="2"/>
  <c r="T488" i="2" s="1"/>
  <c r="R488" i="2"/>
  <c r="S488" i="2" s="1"/>
  <c r="U487" i="2"/>
  <c r="T487" i="2" s="1"/>
  <c r="V486" i="2"/>
  <c r="U486" i="2"/>
  <c r="T486" i="2" s="1"/>
  <c r="U485" i="2"/>
  <c r="T485" i="2" s="1"/>
  <c r="U484" i="2"/>
  <c r="T484" i="2" s="1"/>
  <c r="U483" i="2"/>
  <c r="T483" i="2" s="1"/>
  <c r="U482" i="2"/>
  <c r="T482" i="2" s="1"/>
  <c r="R482" i="2"/>
  <c r="S482" i="2" s="1"/>
  <c r="V481" i="2"/>
  <c r="U481" i="2"/>
  <c r="T481" i="2" s="1"/>
  <c r="U480" i="2"/>
  <c r="T480" i="2" s="1"/>
  <c r="U479" i="2"/>
  <c r="T479" i="2" s="1"/>
  <c r="U478" i="2"/>
  <c r="T478" i="2" s="1"/>
  <c r="U477" i="2"/>
  <c r="T477" i="2" s="1"/>
  <c r="U476" i="2"/>
  <c r="T476" i="2" s="1"/>
  <c r="U475" i="2"/>
  <c r="T475" i="2" s="1"/>
  <c r="V474" i="2"/>
  <c r="U474" i="2"/>
  <c r="T474" i="2" s="1"/>
  <c r="R473" i="2"/>
  <c r="S473" i="2" s="1"/>
  <c r="V472" i="2"/>
  <c r="U472" i="2"/>
  <c r="T472" i="2" s="1"/>
  <c r="V471" i="2"/>
  <c r="U471" i="2"/>
  <c r="T471" i="2" s="1"/>
  <c r="U470" i="2"/>
  <c r="T470" i="2" s="1"/>
  <c r="U469" i="2"/>
  <c r="T469" i="2" s="1"/>
  <c r="R469" i="2"/>
  <c r="S469" i="2" s="1"/>
  <c r="V468" i="2"/>
  <c r="U468" i="2"/>
  <c r="T468" i="2" s="1"/>
  <c r="R468" i="2"/>
  <c r="S468" i="2" s="1"/>
  <c r="U467" i="2"/>
  <c r="T467" i="2" s="1"/>
  <c r="U466" i="2"/>
  <c r="T466" i="2" s="1"/>
  <c r="R465" i="2"/>
  <c r="S465" i="2" s="1"/>
  <c r="U464" i="2"/>
  <c r="T464" i="2" s="1"/>
  <c r="U463" i="2"/>
  <c r="T463" i="2" s="1"/>
  <c r="V462" i="2"/>
  <c r="U462" i="2"/>
  <c r="T462" i="2" s="1"/>
  <c r="V461" i="2"/>
  <c r="U461" i="2"/>
  <c r="T461" i="2" s="1"/>
  <c r="U460" i="2"/>
  <c r="T460" i="2" s="1"/>
  <c r="V459" i="2"/>
  <c r="T459" i="2"/>
  <c r="R459" i="2"/>
  <c r="S459" i="2" s="1"/>
  <c r="V458" i="2"/>
  <c r="U458" i="2"/>
  <c r="T458" i="2" s="1"/>
  <c r="V457" i="2"/>
  <c r="U457" i="2"/>
  <c r="T457" i="2" s="1"/>
  <c r="U456" i="2"/>
  <c r="T456" i="2" s="1"/>
  <c r="V455" i="2"/>
  <c r="U455" i="2"/>
  <c r="T455" i="2" s="1"/>
  <c r="V454" i="2"/>
  <c r="U454" i="2"/>
  <c r="T454" i="2" s="1"/>
  <c r="U453" i="2"/>
  <c r="T453" i="2" s="1"/>
  <c r="U452" i="2"/>
  <c r="T452" i="2" s="1"/>
  <c r="U451" i="2"/>
  <c r="T451" i="2" s="1"/>
  <c r="R451" i="2"/>
  <c r="S451" i="2" s="1"/>
  <c r="U450" i="2"/>
  <c r="T450" i="2" s="1"/>
  <c r="U449" i="2"/>
  <c r="T449" i="2" s="1"/>
  <c r="U448" i="2"/>
  <c r="T448" i="2" s="1"/>
  <c r="V447" i="2"/>
  <c r="U447" i="2"/>
  <c r="T447" i="2" s="1"/>
  <c r="R447" i="2"/>
  <c r="S447" i="2" s="1"/>
  <c r="U446" i="2"/>
  <c r="T446" i="2" s="1"/>
  <c r="R446" i="2"/>
  <c r="S446" i="2" s="1"/>
  <c r="U445" i="2"/>
  <c r="T445" i="2" s="1"/>
  <c r="U444" i="2"/>
  <c r="T444" i="2" s="1"/>
  <c r="V443" i="2"/>
  <c r="U443" i="2"/>
  <c r="T443" i="2" s="1"/>
  <c r="U442" i="2"/>
  <c r="T442" i="2" s="1"/>
  <c r="U441" i="2"/>
  <c r="T441" i="2" s="1"/>
  <c r="V440" i="2"/>
  <c r="U440" i="2"/>
  <c r="T440" i="2" s="1"/>
  <c r="U439" i="2"/>
  <c r="T439" i="2" s="1"/>
  <c r="R439" i="2"/>
  <c r="S439" i="2" s="1"/>
  <c r="U438" i="2"/>
  <c r="T438" i="2" s="1"/>
  <c r="V437" i="2"/>
  <c r="U437" i="2"/>
  <c r="T437" i="2" s="1"/>
  <c r="V436" i="2"/>
  <c r="R436" i="2"/>
  <c r="S436" i="2" s="1"/>
  <c r="U435" i="2"/>
  <c r="T435" i="2" s="1"/>
  <c r="U434" i="2"/>
  <c r="T434" i="2" s="1"/>
  <c r="U433" i="2"/>
  <c r="T433" i="2" s="1"/>
  <c r="U432" i="2"/>
  <c r="T432" i="2" s="1"/>
  <c r="U431" i="2"/>
  <c r="T431" i="2" s="1"/>
  <c r="U430" i="2"/>
  <c r="T430" i="2" s="1"/>
  <c r="U429" i="2"/>
  <c r="T429" i="2" s="1"/>
  <c r="V428" i="2"/>
  <c r="T428" i="2"/>
  <c r="R428" i="2"/>
  <c r="S428" i="2" s="1"/>
  <c r="U427" i="2"/>
  <c r="T427" i="2" s="1"/>
  <c r="V426" i="2"/>
  <c r="U426" i="2"/>
  <c r="T426" i="2" s="1"/>
  <c r="R426" i="2"/>
  <c r="S426" i="2" s="1"/>
  <c r="U425" i="2"/>
  <c r="T425" i="2" s="1"/>
  <c r="R425" i="2"/>
  <c r="S425" i="2" s="1"/>
  <c r="V424" i="2"/>
  <c r="S424" i="2"/>
  <c r="R424" i="2"/>
  <c r="U423" i="2"/>
  <c r="T423" i="2" s="1"/>
  <c r="U422" i="2"/>
  <c r="T422" i="2" s="1"/>
  <c r="U421" i="2"/>
  <c r="T421" i="2" s="1"/>
  <c r="U420" i="2"/>
  <c r="T420" i="2" s="1"/>
  <c r="U419" i="2"/>
  <c r="T419" i="2" s="1"/>
  <c r="U418" i="2"/>
  <c r="T418" i="2" s="1"/>
  <c r="V417" i="2"/>
  <c r="U417" i="2"/>
  <c r="T417" i="2" s="1"/>
  <c r="U416" i="2"/>
  <c r="T416" i="2" s="1"/>
  <c r="U415" i="2"/>
  <c r="T415" i="2" s="1"/>
  <c r="U414" i="2"/>
  <c r="T414" i="2" s="1"/>
  <c r="R414" i="2"/>
  <c r="S414" i="2" s="1"/>
  <c r="U413" i="2"/>
  <c r="T413" i="2" s="1"/>
  <c r="V412" i="2"/>
  <c r="U412" i="2"/>
  <c r="T412" i="2" s="1"/>
  <c r="V411" i="2"/>
  <c r="U411" i="2"/>
  <c r="T411" i="2" s="1"/>
  <c r="U410" i="2"/>
  <c r="T410" i="2" s="1"/>
  <c r="R410" i="2"/>
  <c r="S410" i="2" s="1"/>
  <c r="U409" i="2"/>
  <c r="T409" i="2" s="1"/>
  <c r="U408" i="2"/>
  <c r="T408" i="2" s="1"/>
  <c r="U407" i="2"/>
  <c r="T407" i="2" s="1"/>
  <c r="U406" i="2"/>
  <c r="T406" i="2" s="1"/>
  <c r="U405" i="2"/>
  <c r="T405" i="2" s="1"/>
  <c r="R405" i="2"/>
  <c r="S405" i="2" s="1"/>
  <c r="U404" i="2"/>
  <c r="T404" i="2" s="1"/>
  <c r="U403" i="2"/>
  <c r="T403" i="2" s="1"/>
  <c r="V402" i="2"/>
  <c r="U402" i="2"/>
  <c r="T402" i="2" s="1"/>
  <c r="U401" i="2"/>
  <c r="T401" i="2" s="1"/>
  <c r="V400" i="2"/>
  <c r="U400" i="2"/>
  <c r="T400" i="2" s="1"/>
  <c r="V399" i="2"/>
  <c r="U399" i="2"/>
  <c r="T399" i="2" s="1"/>
  <c r="U398" i="2"/>
  <c r="T398" i="2" s="1"/>
  <c r="U397" i="2"/>
  <c r="T397" i="2" s="1"/>
  <c r="R397" i="2"/>
  <c r="S397" i="2" s="1"/>
  <c r="U396" i="2"/>
  <c r="T396" i="2" s="1"/>
  <c r="R396" i="2"/>
  <c r="S396" i="2" s="1"/>
  <c r="U395" i="2"/>
  <c r="T395" i="2" s="1"/>
  <c r="V394" i="2"/>
  <c r="U394" i="2"/>
  <c r="T394" i="2" s="1"/>
  <c r="U393" i="2"/>
  <c r="T393" i="2" s="1"/>
  <c r="U392" i="2"/>
  <c r="T392" i="2" s="1"/>
  <c r="U391" i="2"/>
  <c r="T391" i="2" s="1"/>
  <c r="V390" i="2"/>
  <c r="U390" i="2"/>
  <c r="T390" i="2" s="1"/>
  <c r="V389" i="2"/>
  <c r="U389" i="2"/>
  <c r="T389" i="2" s="1"/>
  <c r="U388" i="2"/>
  <c r="T388" i="2" s="1"/>
  <c r="U387" i="2"/>
  <c r="T387" i="2" s="1"/>
  <c r="V386" i="2"/>
  <c r="U386" i="2"/>
  <c r="T386" i="2" s="1"/>
  <c r="R386" i="2"/>
  <c r="S386" i="2" s="1"/>
  <c r="V385" i="2"/>
  <c r="T385" i="2"/>
  <c r="R385" i="2"/>
  <c r="S385" i="2" s="1"/>
  <c r="U384" i="2"/>
  <c r="T384" i="2" s="1"/>
  <c r="V383" i="2"/>
  <c r="U383" i="2"/>
  <c r="T383" i="2" s="1"/>
  <c r="U382" i="2"/>
  <c r="T382" i="2" s="1"/>
  <c r="U381" i="2"/>
  <c r="T381" i="2" s="1"/>
  <c r="U380" i="2"/>
  <c r="T380" i="2" s="1"/>
  <c r="V379" i="2"/>
  <c r="U379" i="2"/>
  <c r="T379" i="2" s="1"/>
  <c r="R379" i="2"/>
  <c r="S379" i="2" s="1"/>
  <c r="U378" i="2"/>
  <c r="T378" i="2" s="1"/>
  <c r="R378" i="2"/>
  <c r="S378" i="2" s="1"/>
  <c r="U377" i="2"/>
  <c r="T377" i="2" s="1"/>
  <c r="V376" i="2"/>
  <c r="U376" i="2"/>
  <c r="T376" i="2" s="1"/>
  <c r="U375" i="2"/>
  <c r="T375" i="2" s="1"/>
  <c r="U374" i="2"/>
  <c r="T374" i="2" s="1"/>
  <c r="V373" i="2"/>
  <c r="U373" i="2"/>
  <c r="T373" i="2" s="1"/>
  <c r="U372" i="2"/>
  <c r="T372" i="2" s="1"/>
  <c r="U371" i="2"/>
  <c r="T371" i="2" s="1"/>
  <c r="V370" i="2"/>
  <c r="R370" i="2"/>
  <c r="S370" i="2" s="1"/>
  <c r="U369" i="2"/>
  <c r="T369" i="2" s="1"/>
  <c r="U368" i="2"/>
  <c r="T368" i="2" s="1"/>
  <c r="R368" i="2"/>
  <c r="S368" i="2" s="1"/>
  <c r="V367" i="2"/>
  <c r="U367" i="2"/>
  <c r="T367" i="2" s="1"/>
  <c r="U366" i="2"/>
  <c r="T366" i="2" s="1"/>
  <c r="U365" i="2"/>
  <c r="T365" i="2" s="1"/>
  <c r="U364" i="2"/>
  <c r="T364" i="2" s="1"/>
  <c r="U363" i="2"/>
  <c r="T363" i="2" s="1"/>
  <c r="R363" i="2"/>
  <c r="S363" i="2" s="1"/>
  <c r="V362" i="2"/>
  <c r="U362" i="2"/>
  <c r="T362" i="2" s="1"/>
  <c r="V361" i="2"/>
  <c r="U361" i="2"/>
  <c r="T361" i="2" s="1"/>
  <c r="U360" i="2"/>
  <c r="T360" i="2" s="1"/>
  <c r="V359" i="2"/>
  <c r="U359" i="2"/>
  <c r="T359" i="2" s="1"/>
  <c r="R358" i="2"/>
  <c r="S358" i="2" s="1"/>
  <c r="U357" i="2"/>
  <c r="T357" i="2" s="1"/>
  <c r="R357" i="2"/>
  <c r="S357" i="2" s="1"/>
  <c r="U356" i="2"/>
  <c r="T356" i="2" s="1"/>
  <c r="U355" i="2"/>
  <c r="T355" i="2" s="1"/>
  <c r="U354" i="2"/>
  <c r="T354" i="2" s="1"/>
  <c r="V353" i="2"/>
  <c r="U353" i="2"/>
  <c r="T353" i="2" s="1"/>
  <c r="U352" i="2"/>
  <c r="T352" i="2" s="1"/>
  <c r="U351" i="2"/>
  <c r="T351" i="2" s="1"/>
  <c r="R351" i="2"/>
  <c r="S351" i="2" s="1"/>
  <c r="U350" i="2"/>
  <c r="T350" i="2" s="1"/>
  <c r="U349" i="2"/>
  <c r="T349" i="2" s="1"/>
  <c r="V348" i="2"/>
  <c r="U348" i="2"/>
  <c r="T348" i="2" s="1"/>
  <c r="U347" i="2"/>
  <c r="T347" i="2" s="1"/>
  <c r="U346" i="2"/>
  <c r="T346" i="2" s="1"/>
  <c r="R346" i="2"/>
  <c r="S346" i="2" s="1"/>
  <c r="U345" i="2"/>
  <c r="T345" i="2" s="1"/>
  <c r="U344" i="2"/>
  <c r="T344" i="2" s="1"/>
  <c r="V343" i="2"/>
  <c r="U343" i="2"/>
  <c r="T343" i="2" s="1"/>
  <c r="U342" i="2"/>
  <c r="T342" i="2" s="1"/>
  <c r="U341" i="2"/>
  <c r="T341" i="2" s="1"/>
  <c r="V340" i="2"/>
  <c r="U340" i="2"/>
  <c r="T340" i="2" s="1"/>
  <c r="V339" i="2"/>
  <c r="U339" i="2"/>
  <c r="T339" i="2" s="1"/>
  <c r="V338" i="2"/>
  <c r="U338" i="2"/>
  <c r="T338" i="2" s="1"/>
  <c r="U337" i="2"/>
  <c r="T337" i="2" s="1"/>
  <c r="R336" i="2"/>
  <c r="S336" i="2" s="1"/>
  <c r="V335" i="2"/>
  <c r="U335" i="2"/>
  <c r="T335" i="2" s="1"/>
  <c r="R335" i="2"/>
  <c r="S335" i="2" s="1"/>
  <c r="U334" i="2"/>
  <c r="T334" i="2" s="1"/>
  <c r="R333" i="2"/>
  <c r="S333" i="2" s="1"/>
  <c r="V332" i="2"/>
  <c r="U332" i="2"/>
  <c r="T332" i="2" s="1"/>
  <c r="U331" i="2"/>
  <c r="T331" i="2" s="1"/>
  <c r="R331" i="2"/>
  <c r="S331" i="2" s="1"/>
  <c r="U330" i="2"/>
  <c r="T330" i="2" s="1"/>
  <c r="V329" i="2"/>
  <c r="U329" i="2"/>
  <c r="T329" i="2" s="1"/>
  <c r="U328" i="2"/>
  <c r="T328" i="2" s="1"/>
  <c r="V327" i="2"/>
  <c r="U327" i="2"/>
  <c r="T327" i="2" s="1"/>
  <c r="R327" i="2"/>
  <c r="S327" i="2" s="1"/>
  <c r="V326" i="2"/>
  <c r="U326" i="2"/>
  <c r="T326" i="2" s="1"/>
  <c r="R326" i="2"/>
  <c r="S326" i="2" s="1"/>
  <c r="U325" i="2"/>
  <c r="T325" i="2" s="1"/>
  <c r="U324" i="2"/>
  <c r="T324" i="2" s="1"/>
  <c r="U323" i="2"/>
  <c r="T323" i="2" s="1"/>
  <c r="U322" i="2"/>
  <c r="T322" i="2" s="1"/>
  <c r="U321" i="2"/>
  <c r="T321" i="2" s="1"/>
  <c r="U320" i="2"/>
  <c r="T320" i="2" s="1"/>
  <c r="V319" i="2"/>
  <c r="U319" i="2"/>
  <c r="T319" i="2" s="1"/>
  <c r="V318" i="2"/>
  <c r="U318" i="2"/>
  <c r="T318" i="2" s="1"/>
  <c r="U317" i="2"/>
  <c r="T317" i="2" s="1"/>
  <c r="U316" i="2"/>
  <c r="T316" i="2" s="1"/>
  <c r="V315" i="2"/>
  <c r="U315" i="2"/>
  <c r="T315" i="2" s="1"/>
  <c r="V314" i="2"/>
  <c r="U314" i="2"/>
  <c r="T314" i="2" s="1"/>
  <c r="U313" i="2"/>
  <c r="T313" i="2" s="1"/>
  <c r="U312" i="2"/>
  <c r="T312" i="2" s="1"/>
  <c r="R312" i="2"/>
  <c r="S312" i="2" s="1"/>
  <c r="U311" i="2"/>
  <c r="T311" i="2" s="1"/>
  <c r="U310" i="2"/>
  <c r="T310" i="2" s="1"/>
  <c r="V309" i="2"/>
  <c r="R309" i="2"/>
  <c r="S309" i="2" s="1"/>
  <c r="U308" i="2"/>
  <c r="T308" i="2" s="1"/>
  <c r="U307" i="2"/>
  <c r="T307" i="2" s="1"/>
  <c r="U306" i="2"/>
  <c r="T306" i="2" s="1"/>
  <c r="R306" i="2"/>
  <c r="S306" i="2" s="1"/>
  <c r="V305" i="2"/>
  <c r="U305" i="2"/>
  <c r="T305" i="2" s="1"/>
  <c r="V304" i="2"/>
  <c r="U304" i="2"/>
  <c r="T304" i="2" s="1"/>
  <c r="V303" i="2"/>
  <c r="U303" i="2"/>
  <c r="T303" i="2" s="1"/>
  <c r="V302" i="2"/>
  <c r="U302" i="2"/>
  <c r="T302" i="2" s="1"/>
  <c r="U301" i="2"/>
  <c r="T301" i="2" s="1"/>
  <c r="U300" i="2"/>
  <c r="T300" i="2" s="1"/>
  <c r="U299" i="2"/>
  <c r="T299" i="2" s="1"/>
  <c r="U298" i="2"/>
  <c r="T298" i="2" s="1"/>
  <c r="U297" i="2"/>
  <c r="T297" i="2" s="1"/>
  <c r="R297" i="2"/>
  <c r="S297" i="2" s="1"/>
  <c r="U296" i="2"/>
  <c r="T296" i="2" s="1"/>
  <c r="U295" i="2"/>
  <c r="T295" i="2" s="1"/>
  <c r="V294" i="2"/>
  <c r="U294" i="2"/>
  <c r="T294" i="2" s="1"/>
  <c r="R294" i="2"/>
  <c r="S294" i="2" s="1"/>
  <c r="U293" i="2"/>
  <c r="T293" i="2" s="1"/>
  <c r="V292" i="2"/>
  <c r="R292" i="2"/>
  <c r="S292" i="2" s="1"/>
  <c r="U291" i="2"/>
  <c r="T291" i="2" s="1"/>
  <c r="U290" i="2"/>
  <c r="T290" i="2" s="1"/>
  <c r="V289" i="2"/>
  <c r="U289" i="2"/>
  <c r="T289" i="2" s="1"/>
  <c r="V288" i="2"/>
  <c r="U288" i="2"/>
  <c r="T288" i="2" s="1"/>
  <c r="U287" i="2"/>
  <c r="T287" i="2" s="1"/>
  <c r="U286" i="2"/>
  <c r="T286" i="2" s="1"/>
  <c r="U285" i="2"/>
  <c r="T285" i="2" s="1"/>
  <c r="U284" i="2"/>
  <c r="T284" i="2" s="1"/>
  <c r="U283" i="2"/>
  <c r="T283" i="2" s="1"/>
  <c r="V282" i="2"/>
  <c r="R282" i="2"/>
  <c r="S282" i="2" s="1"/>
  <c r="U281" i="2"/>
  <c r="T281" i="2" s="1"/>
  <c r="U280" i="2"/>
  <c r="T280" i="2" s="1"/>
  <c r="R280" i="2"/>
  <c r="S280" i="2" s="1"/>
  <c r="U279" i="2"/>
  <c r="T279" i="2" s="1"/>
  <c r="R279" i="2"/>
  <c r="S279" i="2" s="1"/>
  <c r="V278" i="2"/>
  <c r="U278" i="2"/>
  <c r="T278" i="2" s="1"/>
  <c r="U277" i="2"/>
  <c r="T277" i="2" s="1"/>
  <c r="U276" i="2"/>
  <c r="T276" i="2" s="1"/>
  <c r="R276" i="2"/>
  <c r="S276" i="2" s="1"/>
  <c r="V275" i="2"/>
  <c r="U275" i="2"/>
  <c r="T275" i="2" s="1"/>
  <c r="U274" i="2"/>
  <c r="T274" i="2" s="1"/>
  <c r="V273" i="2"/>
  <c r="U273" i="2"/>
  <c r="T273" i="2" s="1"/>
  <c r="V272" i="2"/>
  <c r="U272" i="2"/>
  <c r="T272" i="2" s="1"/>
  <c r="V271" i="2"/>
  <c r="U271" i="2"/>
  <c r="T271" i="2" s="1"/>
  <c r="V270" i="2"/>
  <c r="R270" i="2"/>
  <c r="S270" i="2" s="1"/>
  <c r="U269" i="2"/>
  <c r="T269" i="2" s="1"/>
  <c r="V268" i="2"/>
  <c r="U268" i="2"/>
  <c r="T268" i="2" s="1"/>
  <c r="U267" i="2"/>
  <c r="T267" i="2" s="1"/>
  <c r="V266" i="2"/>
  <c r="U266" i="2"/>
  <c r="T266" i="2" s="1"/>
  <c r="R266" i="2"/>
  <c r="S266" i="2" s="1"/>
  <c r="U265" i="2"/>
  <c r="T265" i="2" s="1"/>
  <c r="U264" i="2"/>
  <c r="T264" i="2" s="1"/>
  <c r="U263" i="2"/>
  <c r="V262" i="2"/>
  <c r="U262" i="2"/>
  <c r="T262" i="2" s="1"/>
  <c r="V261" i="2"/>
  <c r="U261" i="2"/>
  <c r="T261" i="2" s="1"/>
  <c r="U260" i="2"/>
  <c r="T260" i="2" s="1"/>
  <c r="R260" i="2"/>
  <c r="S260" i="2" s="1"/>
  <c r="U259" i="2"/>
  <c r="T259" i="2" s="1"/>
  <c r="U258" i="2"/>
  <c r="T258" i="2" s="1"/>
  <c r="U257" i="2"/>
  <c r="T257" i="2" s="1"/>
  <c r="U256" i="2"/>
  <c r="T256" i="2" s="1"/>
  <c r="U255" i="2"/>
  <c r="T255" i="2" s="1"/>
  <c r="V254" i="2"/>
  <c r="U254" i="2"/>
  <c r="T254" i="2" s="1"/>
  <c r="U253" i="2"/>
  <c r="T253" i="2" s="1"/>
  <c r="U252" i="2"/>
  <c r="T252" i="2" s="1"/>
  <c r="U251" i="2"/>
  <c r="T251" i="2" s="1"/>
  <c r="U250" i="2"/>
  <c r="T250" i="2" s="1"/>
  <c r="V249" i="2"/>
  <c r="U249" i="2"/>
  <c r="T249" i="2" s="1"/>
  <c r="V248" i="2"/>
  <c r="U248" i="2"/>
  <c r="T248" i="2" s="1"/>
  <c r="U247" i="2"/>
  <c r="T247" i="2" s="1"/>
  <c r="U246" i="2"/>
  <c r="T246" i="2" s="1"/>
  <c r="U245" i="2"/>
  <c r="T245" i="2" s="1"/>
  <c r="U244" i="2"/>
  <c r="T244" i="2" s="1"/>
  <c r="U243" i="2"/>
  <c r="T243" i="2" s="1"/>
  <c r="R243" i="2"/>
  <c r="S243" i="2" s="1"/>
  <c r="U242" i="2"/>
  <c r="T242" i="2" s="1"/>
  <c r="U241" i="2"/>
  <c r="T241" i="2" s="1"/>
  <c r="U240" i="2"/>
  <c r="T240" i="2" s="1"/>
  <c r="U239" i="2"/>
  <c r="T239" i="2" s="1"/>
  <c r="R239" i="2"/>
  <c r="S239" i="2" s="1"/>
  <c r="U238" i="2"/>
  <c r="T238" i="2" s="1"/>
  <c r="V237" i="2"/>
  <c r="U237" i="2"/>
  <c r="T237" i="2" s="1"/>
  <c r="V236" i="2"/>
  <c r="U236" i="2"/>
  <c r="T236" i="2" s="1"/>
  <c r="V235" i="2"/>
  <c r="U235" i="2"/>
  <c r="T235" i="2" s="1"/>
  <c r="V234" i="2"/>
  <c r="U234" i="2"/>
  <c r="T234" i="2" s="1"/>
  <c r="U233" i="2"/>
  <c r="T233" i="2" s="1"/>
  <c r="R233" i="2"/>
  <c r="S233" i="2" s="1"/>
  <c r="U232" i="2"/>
  <c r="T232" i="2" s="1"/>
  <c r="V231" i="2"/>
  <c r="U231" i="2"/>
  <c r="T231" i="2" s="1"/>
  <c r="U230" i="2"/>
  <c r="T230" i="2" s="1"/>
  <c r="U229" i="2"/>
  <c r="T229" i="2" s="1"/>
  <c r="U228" i="2"/>
  <c r="T228" i="2" s="1"/>
  <c r="V227" i="2"/>
  <c r="U227" i="2"/>
  <c r="T227" i="2" s="1"/>
  <c r="R227" i="2"/>
  <c r="S227" i="2" s="1"/>
  <c r="V226" i="2"/>
  <c r="U226" i="2"/>
  <c r="T226" i="2" s="1"/>
  <c r="U225" i="2"/>
  <c r="T225" i="2" s="1"/>
  <c r="U224" i="2"/>
  <c r="T224" i="2" s="1"/>
  <c r="U223" i="2"/>
  <c r="T223" i="2" s="1"/>
  <c r="U222" i="2"/>
  <c r="T222" i="2" s="1"/>
  <c r="U221" i="2"/>
  <c r="T221" i="2" s="1"/>
  <c r="U220" i="2"/>
  <c r="V219" i="2"/>
  <c r="U219" i="2"/>
  <c r="T219" i="2" s="1"/>
  <c r="V218" i="2"/>
  <c r="U218" i="2"/>
  <c r="T218" i="2" s="1"/>
  <c r="V217" i="2"/>
  <c r="U217" i="2"/>
  <c r="T217" i="2" s="1"/>
  <c r="U216" i="2"/>
  <c r="T216" i="2" s="1"/>
  <c r="V215" i="2"/>
  <c r="U215" i="2"/>
  <c r="T215" i="2" s="1"/>
  <c r="U214" i="2"/>
  <c r="T214" i="2" s="1"/>
  <c r="U213" i="2"/>
  <c r="T213" i="2" s="1"/>
  <c r="U212" i="2"/>
  <c r="T212" i="2" s="1"/>
  <c r="R212" i="2"/>
  <c r="S212" i="2" s="1"/>
  <c r="U211" i="2"/>
  <c r="T211" i="2" s="1"/>
  <c r="U210" i="2"/>
  <c r="T210" i="2" s="1"/>
  <c r="V209" i="2"/>
  <c r="U209" i="2"/>
  <c r="T209" i="2" s="1"/>
  <c r="U208" i="2"/>
  <c r="T208" i="2" s="1"/>
  <c r="U207" i="2"/>
  <c r="T207" i="2" s="1"/>
  <c r="R207" i="2"/>
  <c r="S207" i="2" s="1"/>
  <c r="U206" i="2"/>
  <c r="T206" i="2" s="1"/>
  <c r="R205" i="2"/>
  <c r="S205" i="2" s="1"/>
  <c r="U204" i="2"/>
  <c r="T204" i="2" s="1"/>
  <c r="V203" i="2"/>
  <c r="U203" i="2"/>
  <c r="T203" i="2" s="1"/>
  <c r="V202" i="2"/>
  <c r="U202" i="2"/>
  <c r="T202" i="2" s="1"/>
  <c r="U201" i="2"/>
  <c r="T201" i="2" s="1"/>
  <c r="U200" i="2"/>
  <c r="T200" i="2" s="1"/>
  <c r="U199" i="2"/>
  <c r="T199" i="2" s="1"/>
  <c r="V198" i="2"/>
  <c r="U198" i="2"/>
  <c r="T198" i="2" s="1"/>
  <c r="R198" i="2"/>
  <c r="S198" i="2" s="1"/>
  <c r="U197" i="2"/>
  <c r="T197" i="2" s="1"/>
  <c r="R197" i="2"/>
  <c r="S197" i="2" s="1"/>
  <c r="U196" i="2"/>
  <c r="T196" i="2" s="1"/>
  <c r="V195" i="2"/>
  <c r="U195" i="2"/>
  <c r="T195" i="2" s="1"/>
  <c r="U194" i="2"/>
  <c r="T194" i="2" s="1"/>
  <c r="U193" i="2"/>
  <c r="T193" i="2" s="1"/>
  <c r="V192" i="2"/>
  <c r="U192" i="2"/>
  <c r="T192" i="2" s="1"/>
  <c r="V191" i="2"/>
  <c r="R191" i="2"/>
  <c r="S191" i="2" s="1"/>
  <c r="V190" i="2"/>
  <c r="R190" i="2"/>
  <c r="S190" i="2" s="1"/>
  <c r="V189" i="2"/>
  <c r="U189" i="2"/>
  <c r="T189" i="2" s="1"/>
  <c r="U188" i="2"/>
  <c r="T188" i="2" s="1"/>
  <c r="R188" i="2"/>
  <c r="S188" i="2" s="1"/>
  <c r="U187" i="2"/>
  <c r="T187" i="2" s="1"/>
  <c r="R187" i="2"/>
  <c r="S187" i="2" s="1"/>
  <c r="U186" i="2"/>
  <c r="T186" i="2" s="1"/>
  <c r="U185" i="2"/>
  <c r="T185" i="2" s="1"/>
  <c r="V184" i="2"/>
  <c r="U184" i="2"/>
  <c r="T184" i="2" s="1"/>
  <c r="V183" i="2"/>
  <c r="R183" i="2"/>
  <c r="S183" i="2" s="1"/>
  <c r="U182" i="2"/>
  <c r="T182" i="2" s="1"/>
  <c r="V181" i="2"/>
  <c r="U181" i="2"/>
  <c r="T181" i="2" s="1"/>
  <c r="U180" i="2"/>
  <c r="T180" i="2" s="1"/>
  <c r="U179" i="2"/>
  <c r="T179" i="2" s="1"/>
  <c r="U178" i="2"/>
  <c r="T178" i="2" s="1"/>
  <c r="U177" i="2"/>
  <c r="T177" i="2" s="1"/>
  <c r="U176" i="2"/>
  <c r="T176" i="2" s="1"/>
  <c r="U175" i="2"/>
  <c r="T175" i="2" s="1"/>
  <c r="U174" i="2"/>
  <c r="T174" i="2" s="1"/>
  <c r="V173" i="2"/>
  <c r="R173" i="2"/>
  <c r="S173" i="2" s="1"/>
  <c r="U172" i="2"/>
  <c r="T172" i="2" s="1"/>
  <c r="U171" i="2"/>
  <c r="T171" i="2" s="1"/>
  <c r="U170" i="2"/>
  <c r="T170" i="2" s="1"/>
  <c r="U169" i="2"/>
  <c r="T169" i="2" s="1"/>
  <c r="U168" i="2"/>
  <c r="T168" i="2" s="1"/>
  <c r="V167" i="2"/>
  <c r="U167" i="2"/>
  <c r="T167" i="2" s="1"/>
  <c r="V166" i="2"/>
  <c r="U166" i="2"/>
  <c r="T166" i="2" s="1"/>
  <c r="U165" i="2"/>
  <c r="T165" i="2" s="1"/>
  <c r="U164" i="2"/>
  <c r="T164" i="2" s="1"/>
  <c r="R164" i="2"/>
  <c r="S164" i="2" s="1"/>
  <c r="U163" i="2"/>
  <c r="T163" i="2" s="1"/>
  <c r="U162" i="2"/>
  <c r="T162" i="2" s="1"/>
  <c r="V161" i="2"/>
  <c r="U161" i="2"/>
  <c r="T161" i="2" s="1"/>
  <c r="U160" i="2"/>
  <c r="T160" i="2" s="1"/>
  <c r="V159" i="2"/>
  <c r="U159" i="2"/>
  <c r="T159" i="2" s="1"/>
  <c r="R159" i="2"/>
  <c r="S159" i="2" s="1"/>
  <c r="U158" i="2"/>
  <c r="T158" i="2" s="1"/>
  <c r="U157" i="2"/>
  <c r="T157" i="2" s="1"/>
  <c r="R156" i="2"/>
  <c r="S156" i="2" s="1"/>
  <c r="U155" i="2"/>
  <c r="T155" i="2" s="1"/>
  <c r="U154" i="2"/>
  <c r="T154" i="2" s="1"/>
  <c r="R154" i="2"/>
  <c r="S154" i="2" s="1"/>
  <c r="U153" i="2"/>
  <c r="T153" i="2" s="1"/>
  <c r="U152" i="2"/>
  <c r="T152" i="2" s="1"/>
  <c r="U151" i="2"/>
  <c r="T151" i="2" s="1"/>
  <c r="U150" i="2"/>
  <c r="T150" i="2" s="1"/>
  <c r="U149" i="2"/>
  <c r="T149" i="2" s="1"/>
  <c r="U148" i="2"/>
  <c r="T148" i="2" s="1"/>
  <c r="V147" i="2"/>
  <c r="U147" i="2"/>
  <c r="T147" i="2" s="1"/>
  <c r="R147" i="2"/>
  <c r="S147" i="2" s="1"/>
  <c r="U146" i="2"/>
  <c r="T146" i="2" s="1"/>
  <c r="V145" i="2"/>
  <c r="U145" i="2"/>
  <c r="T145" i="2" s="1"/>
  <c r="U144" i="2"/>
  <c r="T144" i="2" s="1"/>
  <c r="U143" i="2"/>
  <c r="T143" i="2" s="1"/>
  <c r="U142" i="2"/>
  <c r="T142" i="2" s="1"/>
  <c r="U141" i="2"/>
  <c r="T141" i="2" s="1"/>
  <c r="U140" i="2"/>
  <c r="T140" i="2" s="1"/>
  <c r="V139" i="2"/>
  <c r="U139" i="2"/>
  <c r="T139" i="2" s="1"/>
  <c r="R139" i="2"/>
  <c r="S139" i="2" s="1"/>
  <c r="U138" i="2"/>
  <c r="T138" i="2" s="1"/>
  <c r="R138" i="2"/>
  <c r="S138" i="2" s="1"/>
  <c r="U137" i="2"/>
  <c r="T137" i="2" s="1"/>
  <c r="R137" i="2"/>
  <c r="S137" i="2" s="1"/>
  <c r="V136" i="2"/>
  <c r="U136" i="2"/>
  <c r="T136" i="2" s="1"/>
  <c r="U135" i="2"/>
  <c r="T135" i="2" s="1"/>
  <c r="U134" i="2"/>
  <c r="T134" i="2" s="1"/>
  <c r="U133" i="2"/>
  <c r="T133" i="2" s="1"/>
  <c r="R133" i="2"/>
  <c r="S133" i="2" s="1"/>
  <c r="U132" i="2"/>
  <c r="T132" i="2" s="1"/>
  <c r="V131" i="2"/>
  <c r="R131" i="2"/>
  <c r="S131" i="2" s="1"/>
  <c r="V130" i="2"/>
  <c r="U130" i="2"/>
  <c r="T130" i="2" s="1"/>
  <c r="U129" i="2"/>
  <c r="T129" i="2" s="1"/>
  <c r="V128" i="2"/>
  <c r="U128" i="2"/>
  <c r="T128" i="2" s="1"/>
  <c r="V127" i="2"/>
  <c r="U127" i="2"/>
  <c r="T127" i="2" s="1"/>
  <c r="R126" i="2"/>
  <c r="S126" i="2" s="1"/>
  <c r="V125" i="2"/>
  <c r="R125" i="2"/>
  <c r="S125" i="2" s="1"/>
  <c r="V124" i="2"/>
  <c r="R124" i="2"/>
  <c r="S124" i="2" s="1"/>
  <c r="V123" i="2"/>
  <c r="T123" i="2"/>
  <c r="R123" i="2"/>
  <c r="S123" i="2" s="1"/>
  <c r="V122" i="2"/>
  <c r="R122" i="2"/>
  <c r="S122" i="2" s="1"/>
  <c r="V121" i="2"/>
  <c r="R121" i="2"/>
  <c r="S121" i="2" s="1"/>
  <c r="U120" i="2"/>
  <c r="T120" i="2" s="1"/>
  <c r="V119" i="2"/>
  <c r="U119" i="2"/>
  <c r="T119" i="2" s="1"/>
  <c r="R119" i="2"/>
  <c r="S119" i="2" s="1"/>
  <c r="U118" i="2"/>
  <c r="T118" i="2" s="1"/>
  <c r="U117" i="2"/>
  <c r="T117" i="2" s="1"/>
  <c r="U116" i="2"/>
  <c r="T116" i="2" s="1"/>
  <c r="U115" i="2"/>
  <c r="T115" i="2" s="1"/>
  <c r="U114" i="2"/>
  <c r="T114" i="2" s="1"/>
  <c r="V113" i="2"/>
  <c r="R113" i="2"/>
  <c r="S113" i="2" s="1"/>
  <c r="U112" i="2"/>
  <c r="T112" i="2" s="1"/>
  <c r="U111" i="2"/>
  <c r="T111" i="2" s="1"/>
  <c r="V110" i="2"/>
  <c r="U110" i="2"/>
  <c r="T110" i="2" s="1"/>
  <c r="V109" i="2"/>
  <c r="R109" i="2"/>
  <c r="S109" i="2" s="1"/>
  <c r="U108" i="2"/>
  <c r="T108" i="2" s="1"/>
  <c r="V107" i="2"/>
  <c r="U107" i="2"/>
  <c r="T107" i="2" s="1"/>
  <c r="U106" i="2"/>
  <c r="T106" i="2" s="1"/>
  <c r="U105" i="2"/>
  <c r="T105" i="2" s="1"/>
  <c r="V104" i="2"/>
  <c r="R104" i="2"/>
  <c r="S104" i="2" s="1"/>
  <c r="U103" i="2"/>
  <c r="T103" i="2" s="1"/>
  <c r="U102" i="2"/>
  <c r="T102" i="2" s="1"/>
  <c r="U101" i="2"/>
  <c r="T101" i="2" s="1"/>
  <c r="U100" i="2"/>
  <c r="T100" i="2" s="1"/>
  <c r="R100" i="2"/>
  <c r="S100" i="2" s="1"/>
  <c r="U99" i="2"/>
  <c r="T99" i="2" s="1"/>
  <c r="U98" i="2"/>
  <c r="T98" i="2" s="1"/>
  <c r="U97" i="2"/>
  <c r="T97" i="2" s="1"/>
  <c r="U96" i="2"/>
  <c r="T96" i="2" s="1"/>
  <c r="V95" i="2"/>
  <c r="U95" i="2"/>
  <c r="T95" i="2" s="1"/>
  <c r="V94" i="2"/>
  <c r="U94" i="2"/>
  <c r="T94" i="2" s="1"/>
  <c r="R94" i="2"/>
  <c r="S94" i="2" s="1"/>
  <c r="U93" i="2"/>
  <c r="T93" i="2" s="1"/>
  <c r="V92" i="2"/>
  <c r="U92" i="2"/>
  <c r="T92" i="2" s="1"/>
  <c r="R92" i="2"/>
  <c r="S92" i="2" s="1"/>
  <c r="V91" i="2"/>
  <c r="U91" i="2"/>
  <c r="T91" i="2" s="1"/>
  <c r="V90" i="2"/>
  <c r="U90" i="2"/>
  <c r="T90" i="2" s="1"/>
  <c r="V89" i="2"/>
  <c r="U89" i="2"/>
  <c r="T89" i="2" s="1"/>
  <c r="V88" i="2"/>
  <c r="U88" i="2"/>
  <c r="T88" i="2" s="1"/>
  <c r="V87" i="2"/>
  <c r="U87" i="2"/>
  <c r="T87" i="2" s="1"/>
  <c r="U86" i="2"/>
  <c r="T86" i="2" s="1"/>
  <c r="R86" i="2"/>
  <c r="S86" i="2" s="1"/>
  <c r="V85" i="2"/>
  <c r="R85" i="2"/>
  <c r="S85" i="2" s="1"/>
  <c r="V84" i="2"/>
  <c r="U84" i="2"/>
  <c r="T84" i="2" s="1"/>
  <c r="R84" i="2"/>
  <c r="S84" i="2" s="1"/>
  <c r="U83" i="2"/>
  <c r="T83" i="2" s="1"/>
  <c r="R83" i="2"/>
  <c r="S83" i="2" s="1"/>
  <c r="U82" i="2"/>
  <c r="T82" i="2" s="1"/>
  <c r="R82" i="2"/>
  <c r="S82" i="2" s="1"/>
  <c r="U81" i="2"/>
  <c r="T81" i="2" s="1"/>
  <c r="U80" i="2"/>
  <c r="T80" i="2" s="1"/>
  <c r="U79" i="2"/>
  <c r="T79" i="2" s="1"/>
  <c r="U78" i="2"/>
  <c r="T78" i="2" s="1"/>
  <c r="U77" i="2"/>
  <c r="T77" i="2" s="1"/>
  <c r="U76" i="2"/>
  <c r="T76" i="2" s="1"/>
  <c r="U75" i="2"/>
  <c r="T75" i="2" s="1"/>
  <c r="V74" i="2"/>
  <c r="U74" i="2"/>
  <c r="T74" i="2" s="1"/>
  <c r="R74" i="2"/>
  <c r="S74" i="2" s="1"/>
  <c r="V73" i="2"/>
  <c r="U73" i="2"/>
  <c r="T73" i="2" s="1"/>
  <c r="U72" i="2"/>
  <c r="T72" i="2" s="1"/>
  <c r="U71" i="2"/>
  <c r="T71" i="2" s="1"/>
  <c r="V70" i="2"/>
  <c r="U70" i="2"/>
  <c r="T70" i="2" s="1"/>
  <c r="R70" i="2"/>
  <c r="S70" i="2" s="1"/>
  <c r="U69" i="2"/>
  <c r="T69" i="2" s="1"/>
  <c r="R69" i="2"/>
  <c r="S69" i="2" s="1"/>
  <c r="U68" i="2"/>
  <c r="T68" i="2" s="1"/>
  <c r="U67" i="2"/>
  <c r="T67" i="2" s="1"/>
  <c r="U66" i="2"/>
  <c r="T66" i="2" s="1"/>
  <c r="R66" i="2"/>
  <c r="S66" i="2" s="1"/>
  <c r="U65" i="2"/>
  <c r="T65" i="2" s="1"/>
  <c r="R65" i="2"/>
  <c r="S65" i="2" s="1"/>
  <c r="V64" i="2"/>
  <c r="U64" i="2"/>
  <c r="T64" i="2" s="1"/>
  <c r="V63" i="2"/>
  <c r="U63" i="2"/>
  <c r="T63" i="2" s="1"/>
  <c r="R63" i="2"/>
  <c r="S63" i="2" s="1"/>
  <c r="U62" i="2"/>
  <c r="T62" i="2" s="1"/>
  <c r="U61" i="2"/>
  <c r="T61" i="2" s="1"/>
  <c r="V60" i="2"/>
  <c r="U60" i="2"/>
  <c r="T60" i="2" s="1"/>
  <c r="U59" i="2"/>
  <c r="T59" i="2" s="1"/>
  <c r="V58" i="2"/>
  <c r="U58" i="2"/>
  <c r="T58" i="2" s="1"/>
  <c r="R57" i="2"/>
  <c r="S57" i="2" s="1"/>
  <c r="V56" i="2"/>
  <c r="R56" i="2"/>
  <c r="S56" i="2" s="1"/>
  <c r="V55" i="2"/>
  <c r="U55" i="2"/>
  <c r="T55" i="2" s="1"/>
  <c r="R55" i="2"/>
  <c r="S55" i="2" s="1"/>
  <c r="U54" i="2"/>
  <c r="T54" i="2" s="1"/>
  <c r="R54" i="2"/>
  <c r="S54" i="2" s="1"/>
  <c r="U53" i="2"/>
  <c r="T53" i="2" s="1"/>
  <c r="R53" i="2"/>
  <c r="S53" i="2" s="1"/>
  <c r="U52" i="2"/>
  <c r="T52" i="2" s="1"/>
  <c r="U51" i="2"/>
  <c r="T51" i="2" s="1"/>
  <c r="U50" i="2"/>
  <c r="T50" i="2" s="1"/>
  <c r="U49" i="2"/>
  <c r="T49" i="2" s="1"/>
  <c r="U48" i="2"/>
  <c r="T48" i="2" s="1"/>
  <c r="U47" i="2"/>
  <c r="T47" i="2" s="1"/>
  <c r="V46" i="2"/>
  <c r="U46" i="2"/>
  <c r="T46" i="2" s="1"/>
  <c r="R45" i="2"/>
  <c r="S45" i="2" s="1"/>
  <c r="U44" i="2"/>
  <c r="T44" i="2" s="1"/>
  <c r="U43" i="2"/>
  <c r="T43" i="2" s="1"/>
  <c r="R43" i="2"/>
  <c r="S43" i="2" s="1"/>
  <c r="U42" i="2"/>
  <c r="T42" i="2" s="1"/>
  <c r="R42" i="2"/>
  <c r="S42" i="2" s="1"/>
  <c r="U41" i="2"/>
  <c r="T41" i="2" s="1"/>
  <c r="U40" i="2"/>
  <c r="T40" i="2" s="1"/>
  <c r="U39" i="2"/>
  <c r="T39" i="2" s="1"/>
  <c r="U38" i="2"/>
  <c r="T38" i="2" s="1"/>
  <c r="R37" i="2"/>
  <c r="S37" i="2" s="1"/>
  <c r="U36" i="2"/>
  <c r="T36" i="2" s="1"/>
  <c r="U35" i="2"/>
  <c r="T35" i="2" s="1"/>
  <c r="U34" i="2"/>
  <c r="T34" i="2" s="1"/>
  <c r="V33" i="2"/>
  <c r="U33" i="2"/>
  <c r="T33" i="2" s="1"/>
  <c r="U32" i="2"/>
  <c r="T32" i="2" s="1"/>
  <c r="U31" i="2"/>
  <c r="T31" i="2" s="1"/>
  <c r="U30" i="2"/>
  <c r="T30" i="2" s="1"/>
  <c r="U29" i="2"/>
  <c r="T29" i="2" s="1"/>
  <c r="V28" i="2"/>
  <c r="U28" i="2"/>
  <c r="T28" i="2" s="1"/>
  <c r="U27" i="2"/>
  <c r="T27" i="2" s="1"/>
  <c r="U26" i="2"/>
  <c r="T26" i="2" s="1"/>
  <c r="U25" i="2"/>
  <c r="T25" i="2" s="1"/>
  <c r="U24" i="2"/>
  <c r="T24" i="2" s="1"/>
  <c r="U23" i="2"/>
  <c r="T23" i="2" s="1"/>
  <c r="U22" i="2"/>
  <c r="T22" i="2" s="1"/>
  <c r="R22" i="2"/>
  <c r="S22" i="2" s="1"/>
  <c r="U21" i="2"/>
  <c r="T21" i="2" s="1"/>
  <c r="R21" i="2"/>
  <c r="S21" i="2" s="1"/>
  <c r="U20" i="2"/>
  <c r="T20" i="2" s="1"/>
  <c r="V19" i="2"/>
  <c r="U19" i="2"/>
  <c r="T19" i="2" s="1"/>
  <c r="U18" i="2"/>
  <c r="T18" i="2" s="1"/>
  <c r="R17" i="2"/>
  <c r="S17" i="2" s="1"/>
  <c r="R16" i="2"/>
  <c r="S16" i="2" s="1"/>
  <c r="U15" i="2"/>
  <c r="T15" i="2" s="1"/>
  <c r="U14" i="2"/>
  <c r="T14" i="2" s="1"/>
  <c r="U13" i="2"/>
  <c r="T13" i="2" s="1"/>
  <c r="U12" i="2"/>
  <c r="T12" i="2" s="1"/>
  <c r="U11" i="2"/>
  <c r="T11" i="2" s="1"/>
  <c r="R11" i="2"/>
  <c r="S11" i="2" s="1"/>
  <c r="U10" i="2"/>
  <c r="T10" i="2" s="1"/>
  <c r="U9" i="2"/>
  <c r="T9" i="2" s="1"/>
  <c r="U8" i="2"/>
  <c r="T8" i="2" s="1"/>
  <c r="U7" i="2"/>
  <c r="T7" i="2" s="1"/>
  <c r="V6" i="2"/>
  <c r="R6" i="2"/>
  <c r="S6" i="2" s="1"/>
  <c r="V5" i="2"/>
  <c r="U5" i="2"/>
  <c r="T5" i="2" s="1"/>
  <c r="V4" i="2"/>
  <c r="U4" i="2"/>
  <c r="T4" i="2" s="1"/>
  <c r="V3" i="2"/>
  <c r="U3" i="2"/>
  <c r="T3" i="2" s="1"/>
  <c r="U2" i="2"/>
  <c r="T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9" authorId="0" shapeId="0" xr:uid="{00000000-0006-0000-0100-000001000000}">
      <text>
        <r>
          <rPr>
            <sz val="10"/>
            <color rgb="FF000000"/>
            <rFont val="Arial"/>
            <scheme val="minor"/>
          </rPr>
          <t>Dilanjutkan oleh Sahrul, dan Spiderman sudah memberikan point-point yang perlu dikerjakan.</t>
        </r>
      </text>
    </comment>
    <comment ref="L14" authorId="0" shapeId="0" xr:uid="{00000000-0006-0000-0100-000002000000}">
      <text>
        <r>
          <rPr>
            <sz val="10"/>
            <color rgb="FF000000"/>
            <rFont val="Arial"/>
            <scheme val="minor"/>
          </rPr>
          <t>Indra pulang terlebih dahulu, sehingga BA mengikuti selesainya project.</t>
        </r>
      </text>
    </comment>
    <comment ref="K15" authorId="0" shapeId="0" xr:uid="{00000000-0006-0000-0100-000003000000}">
      <text>
        <r>
          <rPr>
            <sz val="10"/>
            <color rgb="FF000000"/>
            <rFont val="Arial"/>
            <scheme val="minor"/>
          </rPr>
          <t>BA dikirim via email.</t>
        </r>
      </text>
    </comment>
    <comment ref="K19" authorId="0" shapeId="0" xr:uid="{00000000-0006-0000-0100-000004000000}">
      <text>
        <r>
          <rPr>
            <sz val="10"/>
            <color rgb="FF000000"/>
            <rFont val="Arial"/>
            <scheme val="minor"/>
          </rPr>
          <t>Actualnya sedang dalam pengecekan dan kirim ulang.</t>
        </r>
      </text>
    </comment>
    <comment ref="D28" authorId="0" shapeId="0" xr:uid="{00000000-0006-0000-0100-000005000000}">
      <text>
        <r>
          <rPr>
            <sz val="10"/>
            <color rgb="FF000000"/>
            <rFont val="Arial"/>
            <scheme val="minor"/>
          </rPr>
          <t>kirim via WA.</t>
        </r>
      </text>
    </comment>
    <comment ref="E36" authorId="0" shapeId="0" xr:uid="{00000000-0006-0000-0100-000006000000}">
      <text>
        <r>
          <rPr>
            <sz val="10"/>
            <color rgb="FF000000"/>
            <rFont val="Arial"/>
            <scheme val="minor"/>
          </rPr>
          <t>BA dikirim via WA</t>
        </r>
      </text>
    </comment>
    <comment ref="K44" authorId="0" shapeId="0" xr:uid="{00000000-0006-0000-0100-000007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K73" authorId="0" shapeId="0" xr:uid="{00000000-0006-0000-0100-000008000000}">
      <text>
        <r>
          <rPr>
            <sz val="10"/>
            <color rgb="FF000000"/>
            <rFont val="Arial"/>
            <scheme val="minor"/>
          </rPr>
          <t>kirim via WA tgl 13 Agustus 25</t>
        </r>
      </text>
    </comment>
    <comment ref="E76" authorId="0" shapeId="0" xr:uid="{00000000-0006-0000-0100-000009000000}">
      <text>
        <r>
          <rPr>
            <sz val="10"/>
            <color rgb="FF000000"/>
            <rFont val="Arial"/>
            <scheme val="minor"/>
          </rPr>
          <t>Kirim via WA</t>
        </r>
      </text>
    </comment>
    <comment ref="K79" authorId="0" shapeId="0" xr:uid="{00000000-0006-0000-0100-00000A000000}">
      <text>
        <r>
          <rPr>
            <sz val="10"/>
            <color rgb="FF000000"/>
            <rFont val="Arial"/>
            <scheme val="minor"/>
          </rPr>
          <t>BA sudah dikirim via email.</t>
        </r>
      </text>
    </comment>
    <comment ref="E90" authorId="0" shapeId="0" xr:uid="{00000000-0006-0000-0100-00000B000000}">
      <text>
        <r>
          <rPr>
            <sz val="10"/>
            <color rgb="FF000000"/>
            <rFont val="Arial"/>
            <scheme val="minor"/>
          </rPr>
          <t>Dikirim via WA.</t>
        </r>
      </text>
    </comment>
    <comment ref="K91" authorId="0" shapeId="0" xr:uid="{00000000-0006-0000-0100-00000C000000}">
      <text>
        <r>
          <rPr>
            <sz val="10"/>
            <color rgb="FF000000"/>
            <rFont val="Arial"/>
            <scheme val="minor"/>
          </rPr>
          <t>BA dikirim via WA</t>
        </r>
      </text>
    </comment>
    <comment ref="E93" authorId="0" shapeId="0" xr:uid="{00000000-0006-0000-0100-00000D000000}">
      <text>
        <r>
          <rPr>
            <sz val="10"/>
            <color rgb="FF000000"/>
            <rFont val="Arial"/>
            <scheme val="minor"/>
          </rPr>
          <t>via WA</t>
        </r>
      </text>
    </comment>
    <comment ref="K97" authorId="0" shapeId="0" xr:uid="{00000000-0006-0000-0100-00000E000000}">
      <text>
        <r>
          <rPr>
            <sz val="10"/>
            <color rgb="FF000000"/>
            <rFont val="Arial"/>
            <scheme val="minor"/>
          </rPr>
          <t>BA cetak</t>
        </r>
      </text>
    </comment>
    <comment ref="K110" authorId="0" shapeId="0" xr:uid="{00000000-0006-0000-0100-00000F000000}">
      <text>
        <r>
          <rPr>
            <sz val="10"/>
            <color rgb="FF000000"/>
            <rFont val="Arial"/>
            <scheme val="minor"/>
          </rPr>
          <t>Sudah dikirim via WA.</t>
        </r>
      </text>
    </comment>
    <comment ref="E112" authorId="0" shapeId="0" xr:uid="{00000000-0006-0000-0100-000010000000}">
      <text>
        <r>
          <rPr>
            <sz val="10"/>
            <color rgb="FF000000"/>
            <rFont val="Arial"/>
            <scheme val="minor"/>
          </rPr>
          <t>BA sudah dikirimkan via WA tgl 20 Nov 25.</t>
        </r>
      </text>
    </comment>
    <comment ref="K120" authorId="0" shapeId="0" xr:uid="{00000000-0006-0000-0100-000011000000}">
      <text>
        <r>
          <rPr>
            <sz val="10"/>
            <color rgb="FF000000"/>
            <rFont val="Arial"/>
            <scheme val="minor"/>
          </rPr>
          <t>Dikirim via WA</t>
        </r>
      </text>
    </comment>
    <comment ref="E129" authorId="0" shapeId="0" xr:uid="{00000000-0006-0000-0100-000012000000}">
      <text>
        <r>
          <rPr>
            <sz val="10"/>
            <color rgb="FF000000"/>
            <rFont val="Arial"/>
            <scheme val="minor"/>
          </rPr>
          <t>COver + Maintenance Completion.</t>
        </r>
      </text>
    </comment>
    <comment ref="E130" authorId="0" shapeId="0" xr:uid="{00000000-0006-0000-0100-000013000000}">
      <text>
        <r>
          <rPr>
            <sz val="10"/>
            <color rgb="FF000000"/>
            <rFont val="Arial"/>
            <scheme val="minor"/>
          </rPr>
          <t>BA dikirim via email.</t>
        </r>
      </text>
    </comment>
    <comment ref="E169" authorId="0" shapeId="0" xr:uid="{00000000-0006-0000-0100-000014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170" authorId="0" shapeId="0" xr:uid="{00000000-0006-0000-0100-000015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171" authorId="0" shapeId="0" xr:uid="{00000000-0006-0000-0100-000016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K177" authorId="0" shapeId="0" xr:uid="{00000000-0006-0000-0100-000017000000}">
      <text>
        <r>
          <rPr>
            <sz val="10"/>
            <color rgb="FF000000"/>
            <rFont val="Arial"/>
            <scheme val="minor"/>
          </rPr>
          <t>COver + Maintenance Completion.</t>
        </r>
      </text>
    </comment>
    <comment ref="D180" authorId="0" shapeId="0" xr:uid="{00000000-0006-0000-0100-000018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K180" authorId="0" shapeId="0" xr:uid="{00000000-0006-0000-0100-000019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192" authorId="0" shapeId="0" xr:uid="{00000000-0006-0000-0100-00001A000000}">
      <text>
        <r>
          <rPr>
            <sz val="10"/>
            <color rgb="FF000000"/>
            <rFont val="Arial"/>
            <scheme val="minor"/>
          </rPr>
          <t>BA cetak</t>
        </r>
      </text>
    </comment>
    <comment ref="K215" authorId="0" shapeId="0" xr:uid="{00000000-0006-0000-0100-00001B000000}">
      <text>
        <r>
          <rPr>
            <sz val="10"/>
            <color rgb="FF000000"/>
            <rFont val="Arial"/>
            <scheme val="minor"/>
          </rPr>
          <t>BA sudah attach di CNC.</t>
        </r>
      </text>
    </comment>
    <comment ref="K234" authorId="0" shapeId="0" xr:uid="{00000000-0006-0000-0100-00001C000000}">
      <text>
        <r>
          <rPr>
            <sz val="10"/>
            <color rgb="FF000000"/>
            <rFont val="Arial"/>
            <scheme val="minor"/>
          </rPr>
          <t>kirim via WA</t>
        </r>
      </text>
    </comment>
    <comment ref="E248" authorId="0" shapeId="0" xr:uid="{00000000-0006-0000-0100-00001D000000}">
      <text>
        <r>
          <rPr>
            <sz val="10"/>
            <color rgb="FF000000"/>
            <rFont val="Arial"/>
            <scheme val="minor"/>
          </rPr>
          <t>Dikirim via WA</t>
        </r>
      </text>
    </comment>
    <comment ref="K274" authorId="0" shapeId="0" xr:uid="{00000000-0006-0000-0100-00001E000000}">
      <text>
        <r>
          <rPr>
            <sz val="10"/>
            <color rgb="FF000000"/>
            <rFont val="Arial"/>
            <scheme val="minor"/>
          </rPr>
          <t>Indra pulang terlebih dahulu, sehingga BA mengikuti selesainya project.</t>
        </r>
      </text>
    </comment>
    <comment ref="E283" authorId="0" shapeId="0" xr:uid="{00000000-0006-0000-0100-00001F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300" authorId="0" shapeId="0" xr:uid="{00000000-0006-0000-0100-000020000000}">
      <text>
        <r>
          <rPr>
            <sz val="10"/>
            <color rgb="FF000000"/>
            <rFont val="Arial"/>
            <scheme val="minor"/>
          </rPr>
          <t>kirim via WA</t>
        </r>
      </text>
    </comment>
    <comment ref="K307" authorId="0" shapeId="0" xr:uid="{00000000-0006-0000-0100-000021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K321" authorId="0" shapeId="0" xr:uid="{00000000-0006-0000-0100-000022000000}">
      <text>
        <r>
          <rPr>
            <sz val="10"/>
            <color rgb="FF000000"/>
            <rFont val="Arial"/>
            <scheme val="minor"/>
          </rPr>
          <t>Sudah dikirimkan via WA.</t>
        </r>
      </text>
    </comment>
    <comment ref="K325" authorId="0" shapeId="0" xr:uid="{00000000-0006-0000-0100-000023000000}">
      <text>
        <r>
          <rPr>
            <sz val="10"/>
            <color rgb="FF000000"/>
            <rFont val="Arial"/>
            <scheme val="minor"/>
          </rPr>
          <t>Kirim via WA</t>
        </r>
      </text>
    </comment>
    <comment ref="E328" authorId="0" shapeId="0" xr:uid="{00000000-0006-0000-0100-000024000000}">
      <text>
        <r>
          <rPr>
            <sz val="10"/>
            <color rgb="FF000000"/>
            <rFont val="Arial"/>
            <scheme val="minor"/>
          </rPr>
          <t>Sudah dikirim via WA tgl 14 Juli 2025</t>
        </r>
      </text>
    </comment>
    <comment ref="K345" authorId="0" shapeId="0" xr:uid="{00000000-0006-0000-0100-000025000000}">
      <text>
        <r>
          <rPr>
            <sz val="10"/>
            <color rgb="FF000000"/>
            <rFont val="Arial"/>
            <scheme val="minor"/>
          </rPr>
          <t>Dikirim via WA</t>
        </r>
      </text>
    </comment>
    <comment ref="K359" authorId="0" shapeId="0" xr:uid="{00000000-0006-0000-0100-000026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362" authorId="0" shapeId="0" xr:uid="{00000000-0006-0000-0100-000027000000}">
      <text>
        <r>
          <rPr>
            <sz val="10"/>
            <color rgb="FF000000"/>
            <rFont val="Arial"/>
            <scheme val="minor"/>
          </rPr>
          <t>Sudah dikirimkan via WA.</t>
        </r>
      </text>
    </comment>
    <comment ref="K374" authorId="0" shapeId="0" xr:uid="{00000000-0006-0000-0100-000028000000}">
      <text>
        <r>
          <rPr>
            <sz val="10"/>
            <color rgb="FF000000"/>
            <rFont val="Arial"/>
            <scheme val="minor"/>
          </rPr>
          <t>Sudah dikirim via WA.</t>
        </r>
      </text>
    </comment>
    <comment ref="K376" authorId="0" shapeId="0" xr:uid="{00000000-0006-0000-0100-000029000000}">
      <text>
        <r>
          <rPr>
            <sz val="10"/>
            <color rgb="FF000000"/>
            <rFont val="Arial"/>
            <scheme val="minor"/>
          </rPr>
          <t>Dilanjutkan oleh Sahrul, dan Spiderman sudah memberikan point-point yang perlu dikerjakan.</t>
        </r>
      </text>
    </comment>
    <comment ref="K390" authorId="0" shapeId="0" xr:uid="{00000000-0006-0000-0100-00002A000000}">
      <text>
        <r>
          <rPr>
            <sz val="10"/>
            <color rgb="FF000000"/>
            <rFont val="Arial"/>
            <scheme val="minor"/>
          </rPr>
          <t>Kirim via WA</t>
        </r>
      </text>
    </comment>
    <comment ref="E403" authorId="0" shapeId="0" xr:uid="{00000000-0006-0000-0100-00002B000000}">
      <text>
        <r>
          <rPr>
            <sz val="10"/>
            <color rgb="FF000000"/>
            <rFont val="Arial"/>
            <scheme val="minor"/>
          </rPr>
          <t>kirim via WA.</t>
        </r>
      </text>
    </comment>
    <comment ref="K404" authorId="0" shapeId="0" xr:uid="{00000000-0006-0000-0100-00002C000000}">
      <text>
        <r>
          <rPr>
            <sz val="10"/>
            <color rgb="FF000000"/>
            <rFont val="Arial"/>
            <scheme val="minor"/>
          </rPr>
          <t>via WA</t>
        </r>
      </text>
    </comment>
    <comment ref="E407" authorId="0" shapeId="0" xr:uid="{00000000-0006-0000-0100-00002D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K411" authorId="0" shapeId="0" xr:uid="{00000000-0006-0000-0100-00002E000000}">
      <text>
        <r>
          <rPr>
            <sz val="10"/>
            <color rgb="FF000000"/>
            <rFont val="Arial"/>
            <scheme val="minor"/>
          </rPr>
          <t>dikirim sebagian via WA.</t>
        </r>
      </text>
    </comment>
    <comment ref="K423" authorId="0" shapeId="0" xr:uid="{00000000-0006-0000-0100-00002F000000}">
      <text>
        <r>
          <rPr>
            <sz val="10"/>
            <color rgb="FF000000"/>
            <rFont val="Arial"/>
            <scheme val="minor"/>
          </rPr>
          <t>BA sudah dikirimkan via WA tgl 20 Nov 25.</t>
        </r>
      </text>
    </comment>
    <comment ref="K431" authorId="0" shapeId="0" xr:uid="{00000000-0006-0000-0100-000030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440" authorId="0" shapeId="0" xr:uid="{00000000-0006-0000-0100-000031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443" authorId="0" shapeId="0" xr:uid="{00000000-0006-0000-0100-000032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453" authorId="0" shapeId="0" xr:uid="{00000000-0006-0000-0100-000033000000}">
      <text>
        <r>
          <rPr>
            <sz val="10"/>
            <color rgb="FF000000"/>
            <rFont val="Arial"/>
            <scheme val="minor"/>
          </rPr>
          <t>kirim via WA tgl 13 Agustus 25</t>
        </r>
      </text>
    </comment>
    <comment ref="K454" authorId="0" shapeId="0" xr:uid="{00000000-0006-0000-0100-000034000000}">
      <text>
        <r>
          <rPr>
            <sz val="10"/>
            <color rgb="FF000000"/>
            <rFont val="Arial"/>
            <scheme val="minor"/>
          </rPr>
          <t>dikirim via WA</t>
        </r>
      </text>
    </comment>
    <comment ref="D462" authorId="0" shapeId="0" xr:uid="{00000000-0006-0000-0100-000035000000}">
      <text>
        <r>
          <rPr>
            <sz val="10"/>
            <color rgb="FF000000"/>
            <rFont val="Arial"/>
            <scheme val="minor"/>
          </rPr>
          <t>Dikirim via WA.</t>
        </r>
      </text>
    </comment>
    <comment ref="E466" authorId="0" shapeId="0" xr:uid="{00000000-0006-0000-0100-000036000000}">
      <text>
        <r>
          <rPr>
            <sz val="10"/>
            <color rgb="FF000000"/>
            <rFont val="Arial"/>
            <scheme val="minor"/>
          </rPr>
          <t>BA sudah attach di CNC.</t>
        </r>
      </text>
    </comment>
    <comment ref="K472" authorId="0" shapeId="0" xr:uid="{00000000-0006-0000-0100-000037000000}">
      <text>
        <r>
          <rPr>
            <sz val="10"/>
            <color rgb="FF000000"/>
            <rFont val="Arial"/>
            <scheme val="minor"/>
          </rPr>
          <t>Dikirim via email.
Actualnya 23 Jul 25, namun sudah mengirimkan pada 17 Feb 25, maka akan diarrange ke 24 Feb 25</t>
        </r>
      </text>
    </comment>
    <comment ref="E479" authorId="0" shapeId="0" xr:uid="{00000000-0006-0000-0100-000038000000}">
      <text>
        <r>
          <rPr>
            <sz val="10"/>
            <color rgb="FF000000"/>
            <rFont val="Arial"/>
            <scheme val="minor"/>
          </rPr>
          <t>Sudah dikirim via WA.</t>
        </r>
      </text>
    </comment>
    <comment ref="K489" authorId="0" shapeId="0" xr:uid="{00000000-0006-0000-0100-000039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497" authorId="0" shapeId="0" xr:uid="{00000000-0006-0000-0100-00003A000000}">
      <text>
        <r>
          <rPr>
            <sz val="10"/>
            <color rgb="FF000000"/>
            <rFont val="Arial"/>
            <scheme val="minor"/>
          </rPr>
          <t>dikirim sebagian via WA.</t>
        </r>
      </text>
    </comment>
    <comment ref="E526" authorId="0" shapeId="0" xr:uid="{00000000-0006-0000-0100-00003B000000}">
      <text>
        <r>
          <rPr>
            <sz val="10"/>
            <color rgb="FF000000"/>
            <rFont val="Arial"/>
            <scheme val="minor"/>
          </rPr>
          <t>Kirim via WA</t>
        </r>
      </text>
    </comment>
    <comment ref="K526" authorId="0" shapeId="0" xr:uid="{00000000-0006-0000-0100-00003C000000}">
      <text>
        <r>
          <rPr>
            <sz val="10"/>
            <color rgb="FF000000"/>
            <rFont val="Arial"/>
            <scheme val="minor"/>
          </rPr>
          <t>Sudah dikirim via WA tgl 14 Juli 2025</t>
        </r>
      </text>
    </comment>
    <comment ref="E527" authorId="0" shapeId="0" xr:uid="{00000000-0006-0000-0100-00003D000000}">
      <text>
        <r>
          <rPr>
            <sz val="10"/>
            <color rgb="FF000000"/>
            <rFont val="Arial"/>
            <scheme val="minor"/>
          </rPr>
          <t>BA dikirim via email.</t>
        </r>
      </text>
    </comment>
    <comment ref="E549" authorId="0" shapeId="0" xr:uid="{00000000-0006-0000-0100-00003E000000}">
      <text>
        <r>
          <rPr>
            <sz val="10"/>
            <color rgb="FF000000"/>
            <rFont val="Arial"/>
            <scheme val="minor"/>
          </rPr>
          <t>Sudah dikirim via WA.</t>
        </r>
      </text>
    </comment>
    <comment ref="E573" authorId="0" shapeId="0" xr:uid="{00000000-0006-0000-0100-00003F000000}">
      <text>
        <r>
          <rPr>
            <sz val="10"/>
            <color rgb="FF000000"/>
            <rFont val="Arial"/>
            <scheme val="minor"/>
          </rPr>
          <t>BA sudah dikirim via email.</t>
        </r>
      </text>
    </comment>
    <comment ref="E583" authorId="0" shapeId="0" xr:uid="{00000000-0006-0000-0100-000040000000}">
      <text>
        <r>
          <rPr>
            <sz val="10"/>
            <color rgb="FF000000"/>
            <rFont val="Arial"/>
            <scheme val="minor"/>
          </rPr>
          <t>Dikirim via WA</t>
        </r>
      </text>
    </comment>
    <comment ref="E633" authorId="0" shapeId="0" xr:uid="{00000000-0006-0000-0100-000041000000}">
      <text>
        <r>
          <rPr>
            <sz val="10"/>
            <color rgb="FF000000"/>
            <rFont val="Arial"/>
            <scheme val="minor"/>
          </rPr>
          <t>dikirim via WA</t>
        </r>
      </text>
    </comment>
    <comment ref="K658" authorId="0" shapeId="0" xr:uid="{00000000-0006-0000-0100-000042000000}">
      <text>
        <r>
          <rPr>
            <sz val="10"/>
            <color rgb="FF000000"/>
            <rFont val="Arial"/>
            <scheme val="minor"/>
          </rPr>
          <t>BA dikirim via email.</t>
        </r>
      </text>
    </comment>
    <comment ref="K661" authorId="0" shapeId="0" xr:uid="{00000000-0006-0000-0100-000043000000}">
      <text>
        <r>
          <rPr>
            <sz val="10"/>
            <color rgb="FF000000"/>
            <rFont val="Arial"/>
            <scheme val="minor"/>
          </rPr>
          <t>Tinggal di DONE kan.</t>
        </r>
      </text>
    </comment>
    <comment ref="K671" authorId="0" shapeId="0" xr:uid="{00000000-0006-0000-0100-000044000000}">
      <text>
        <r>
          <rPr>
            <sz val="10"/>
            <color rgb="FF000000"/>
            <rFont val="Arial"/>
            <scheme val="minor"/>
          </rPr>
          <t>via WA.</t>
        </r>
      </text>
    </comment>
    <comment ref="E679" authorId="0" shapeId="0" xr:uid="{00000000-0006-0000-0100-000045000000}">
      <text>
        <r>
          <rPr>
            <sz val="10"/>
            <color rgb="FF000000"/>
            <rFont val="Arial"/>
            <scheme val="minor"/>
          </rPr>
          <t>via WA.</t>
        </r>
      </text>
    </comment>
  </commentList>
</comments>
</file>

<file path=xl/sharedStrings.xml><?xml version="1.0" encoding="utf-8"?>
<sst xmlns="http://schemas.openxmlformats.org/spreadsheetml/2006/main" count="4368" uniqueCount="629">
  <si>
    <t>cnc_id</t>
  </si>
  <si>
    <t>name</t>
  </si>
  <si>
    <t>partner_id</t>
  </si>
  <si>
    <t>type_id</t>
  </si>
  <si>
    <t>status_id</t>
  </si>
  <si>
    <t>start_date</t>
  </si>
  <si>
    <t>end_date</t>
  </si>
  <si>
    <t>point_ach</t>
  </si>
  <si>
    <t>point_req</t>
  </si>
  <si>
    <t>point_percent</t>
  </si>
  <si>
    <t>handover_or</t>
  </si>
  <si>
    <t>handover_days</t>
  </si>
  <si>
    <t>pic_kpi_2</t>
  </si>
  <si>
    <t>check_or</t>
  </si>
  <si>
    <t>check_days</t>
  </si>
  <si>
    <t>officer_kpi2</t>
  </si>
  <si>
    <t>validation_date</t>
  </si>
  <si>
    <t>validation_days</t>
  </si>
  <si>
    <t>okr_kpi2</t>
  </si>
  <si>
    <t>s1_estimation</t>
  </si>
  <si>
    <t>s1_over_days</t>
  </si>
  <si>
    <t>s1_count_email_sent</t>
  </si>
  <si>
    <t>s2_email_sent</t>
  </si>
  <si>
    <t>s3_email_sent</t>
  </si>
  <si>
    <t>pyear</t>
  </si>
  <si>
    <t>pquarter</t>
  </si>
  <si>
    <t>pmonth</t>
  </si>
  <si>
    <t>pweekno</t>
  </si>
  <si>
    <t>pweekofmonth</t>
  </si>
  <si>
    <t>information_id</t>
  </si>
  <si>
    <t>status</t>
  </si>
  <si>
    <t>Problem Solving Database</t>
  </si>
  <si>
    <t>MAINTENANCE</t>
  </si>
  <si>
    <t>DONE</t>
  </si>
  <si>
    <t>Email sent on July 04, 2025, at 7.04 PM</t>
  </si>
  <si>
    <t>REQUEST</t>
  </si>
  <si>
    <t>APPROVED</t>
  </si>
  <si>
    <t>Refresh Training</t>
  </si>
  <si>
    <t>RE-TRAINING</t>
  </si>
  <si>
    <t>Email sent on July 09, 2025, at 2.00 PM</t>
  </si>
  <si>
    <t>Email sent on July 12, 2025, at 12.00 PM</t>
  </si>
  <si>
    <t>Upgrade to Cloud Version</t>
  </si>
  <si>
    <t>UPGRADE</t>
  </si>
  <si>
    <t>Email sent on August 20, 2025, at 3.00 PM</t>
  </si>
  <si>
    <t>Email sent on October 14, 2025, at 6.00 PM</t>
  </si>
  <si>
    <t>Annual Maintenance |w:10-12-25|</t>
  </si>
  <si>
    <t>DOCUMENT</t>
  </si>
  <si>
    <t>Annual Maintenance</t>
  </si>
  <si>
    <t>Annual Maintenance |W:101225|</t>
  </si>
  <si>
    <t>Mentoring Update Data (BO, DIM, RPT, Mobile, RR)</t>
  </si>
  <si>
    <t>Email sent on December 01, 2025, at 10.00 PM</t>
  </si>
  <si>
    <t>Email sent on December 03, 2025, at 3.00 PM</t>
  </si>
  <si>
    <t>Update Exe for License</t>
  </si>
  <si>
    <t>Email sent on February 26, 2026, at 4.00 PM</t>
  </si>
  <si>
    <t>Email sent on February 27, 2026, at 5.00 PM</t>
  </si>
  <si>
    <t>SUBMISSION</t>
  </si>
  <si>
    <t>Training Inventory Module via Online</t>
  </si>
  <si>
    <t>OL-TRAINING</t>
  </si>
  <si>
    <t>Email sent on August 18, 2025, at 2.00 PM</t>
  </si>
  <si>
    <t>Email sent on October 20, 2025, at 5.00 PM</t>
  </si>
  <si>
    <t>Email sent on December 02, 2025, at 9.00 PM</t>
  </si>
  <si>
    <t>Email sent on January 30, 2026, at 12.00 PM</t>
  </si>
  <si>
    <t>RUNNING</t>
  </si>
  <si>
    <t>Email sent on November 28, 2025, at 8.00 PM</t>
  </si>
  <si>
    <t>Email sent on December 01, 2025, at 4.00 PM</t>
  </si>
  <si>
    <t>Overview Asset Module</t>
  </si>
  <si>
    <t>Email sent on July 17, 2025, at 3.00 PM</t>
  </si>
  <si>
    <t>Email sent on October 20, 2025, at 3.00 PM</t>
  </si>
  <si>
    <t>Presentation of PowerME</t>
  </si>
  <si>
    <t>OTH</t>
  </si>
  <si>
    <t>Email sent on March 04, 2026, at 3.00 PM</t>
  </si>
  <si>
    <t>Email sent on March 11, 2026, at 11.00 AM</t>
  </si>
  <si>
    <t>Email sent on March 10, 2026, at 11.00 AM</t>
  </si>
  <si>
    <t>Annual Maintenance &amp; Retraining</t>
  </si>
  <si>
    <t>Training &amp; Discussion PB1 via Online</t>
  </si>
  <si>
    <t>Interface Revenue Mangement Infinito</t>
  </si>
  <si>
    <t>REMOTE-INS</t>
  </si>
  <si>
    <t>DOCUMENT-CHECK</t>
  </si>
  <si>
    <t>Email sent on December 16, 2025, at 6.01 PM</t>
  </si>
  <si>
    <t>Interface CRM BookingWhizz</t>
  </si>
  <si>
    <t>Email sent on December 17, 2025, at 3.00 PM</t>
  </si>
  <si>
    <t>Annual Maintenance |D:19-12-25|</t>
  </si>
  <si>
    <t>Annual Mainteanance</t>
  </si>
  <si>
    <t>x</t>
  </si>
  <si>
    <t>Retraining</t>
  </si>
  <si>
    <t>Email sent on January 14, 2026, at 4.01 PM</t>
  </si>
  <si>
    <t>Email sent on January 23, 2026, at 3.00 PM</t>
  </si>
  <si>
    <t>Email sent on February 02, 2026, at 1.00 PM</t>
  </si>
  <si>
    <t>Training EOM Process via Online</t>
  </si>
  <si>
    <t>Migration CM from STAAH to Excely</t>
  </si>
  <si>
    <t>Email sent on January 19, 2026, at 4.00 PM</t>
  </si>
  <si>
    <t>Overview PB1 Interface</t>
  </si>
  <si>
    <t>Email sent on February 03, 2026, at 3.00 PM</t>
  </si>
  <si>
    <t>Email sent on February 03, 2026, at 5.00 PM</t>
  </si>
  <si>
    <t>Training IT Module [14.00] |e:26-01-26|</t>
  </si>
  <si>
    <t>System Health &amp; Optimazion</t>
  </si>
  <si>
    <t>Email sent on August 29, 2025, at 2.00 PM</t>
  </si>
  <si>
    <t>Annual Mainteance &amp; Refresh Traininig</t>
  </si>
  <si>
    <t>Refresh Training Accounting Module</t>
  </si>
  <si>
    <t>Email sent on August 11, 2025, at 2.00 PM</t>
  </si>
  <si>
    <t>Email sent on August 14, 2025, at 11.00 AM</t>
  </si>
  <si>
    <t>Email sent on October 09, 2025, at 11.00 AM</t>
  </si>
  <si>
    <t>Email sent on October 13, 2025, at 4.00 PM</t>
  </si>
  <si>
    <t>Review Accounting Module</t>
  </si>
  <si>
    <t>Email sent on December 11, 2025, at 6.00 PM</t>
  </si>
  <si>
    <t>Email sent on January 12, 2026, at 5.01 PM</t>
  </si>
  <si>
    <t>Email sent on July 04, 2025, at 4.39 PM</t>
  </si>
  <si>
    <t>Email sent on July 08, 2025, at 2.00 PM</t>
  </si>
  <si>
    <t>Training AR Module |w:6-01-26|</t>
  </si>
  <si>
    <t>Email sent on January 12, 2026, at 4.15 PM</t>
  </si>
  <si>
    <t>Email sent on January 13, 2026, at 5.01 PM</t>
  </si>
  <si>
    <t xml:space="preserve">Interface CRM BookingWhizz </t>
  </si>
  <si>
    <t>Training Inventory &amp; GL Module [14.00]</t>
  </si>
  <si>
    <t>Email sent on March 13, 2026, at 3.01 PM</t>
  </si>
  <si>
    <t>Email sent on March 17, 2026, at 11.01 AM</t>
  </si>
  <si>
    <t>Training INV Module |w:9-03-26|</t>
  </si>
  <si>
    <t>Add 3 License Power Sign</t>
  </si>
  <si>
    <t>Email sent on July 15, 2025, at 11.00 AM</t>
  </si>
  <si>
    <t>Email sent on July 20, 2025, at 8.00 PM</t>
  </si>
  <si>
    <t>Training GC &amp; CC via Online</t>
  </si>
  <si>
    <t>Email sent on July 10, 2025, at 2.00 PM</t>
  </si>
  <si>
    <t>Email sent on July 16, 2025, at 12.00 PM</t>
  </si>
  <si>
    <t>Email sent on August 14, 2025, at 12.00 PM</t>
  </si>
  <si>
    <t>Email sent on August 23, 2025, at 4.00 PM</t>
  </si>
  <si>
    <t>Email sent on January 19, 2026, at 5.00 PM</t>
  </si>
  <si>
    <t>Email sent on January 23, 2026, at 11.01 AM</t>
  </si>
  <si>
    <t>Integration Channel Manager SITEMINDER via Online</t>
  </si>
  <si>
    <t>Annual Maintenance |e:4-02-26|</t>
  </si>
  <si>
    <t>Email sent on April 06, 2026, at 4.55 PM</t>
  </si>
  <si>
    <t>Email sent on August 12, 2025, at 10.00 PM</t>
  </si>
  <si>
    <t>Annual Maintenance &amp; Refresh Training</t>
  </si>
  <si>
    <t>Review System Low |w:13-02-26|</t>
  </si>
  <si>
    <t>Email sent on February 19, 2026, at 11.16 AM</t>
  </si>
  <si>
    <t>Email sent on February 19, 2026, at 3.00 PM</t>
  </si>
  <si>
    <t>Check PB1 Interface</t>
  </si>
  <si>
    <t>Email sent on July 10, 2025, at 11.00 AM</t>
  </si>
  <si>
    <t>Add Service Scheduler for Golf |w:7-02-26|</t>
  </si>
  <si>
    <t>Email sent on February 18, 2026, at 4.00 PM</t>
  </si>
  <si>
    <t>Email sent on February 23, 2026, at 6.00 PM</t>
  </si>
  <si>
    <t>Training POS Driving Range</t>
  </si>
  <si>
    <t>Email sent on March 16, 2026, at 6.01 PM</t>
  </si>
  <si>
    <t>Email sent on April 02, 2026, at 6.01 PM</t>
  </si>
  <si>
    <t>Presentation Kitchen Display via Zoom</t>
  </si>
  <si>
    <t xml:space="preserve">Integration Channel Manager SITEMINDER via Online </t>
  </si>
  <si>
    <t>Email sent on August 12, 2025, at 9.00 PM</t>
  </si>
  <si>
    <t>Retraining SR, PR, PO, ML &amp; BEO</t>
  </si>
  <si>
    <t>Email sent on April 09, 2026, at 3.00 PM</t>
  </si>
  <si>
    <t>Email sent on April 09, 2026, at 3.01 PM</t>
  </si>
  <si>
    <t>Standardization Master of Item</t>
  </si>
  <si>
    <t>Email sent on December 02, 2025, at 12.00 PM</t>
  </si>
  <si>
    <t>Email sent on January 14, 2026, at 2.00 PM</t>
  </si>
  <si>
    <t>Email sent on January 14, 2026, at 5.01 PM</t>
  </si>
  <si>
    <t>Email sent on February 19, 2026, at 11.00 AM</t>
  </si>
  <si>
    <t>Email sent on February 23, 2026, at 11.00 AM</t>
  </si>
  <si>
    <t>Annual Maintenance |w:9-02-26|</t>
  </si>
  <si>
    <t>Add License 24 Rooms</t>
  </si>
  <si>
    <t>Evaluation System</t>
  </si>
  <si>
    <t>Evaluation Maintenance</t>
  </si>
  <si>
    <t>Email sent on July 18, 2025, at 4.00 PM</t>
  </si>
  <si>
    <t>Email sent on July 20, 2025, at 6.00 PM</t>
  </si>
  <si>
    <t>Email sent on July 31, 2025, at 3.00 PM</t>
  </si>
  <si>
    <t>Email sent on October 14, 2025, at 5.00 PM</t>
  </si>
  <si>
    <t>Email sent on March 31, 2026, at 3.01 PM</t>
  </si>
  <si>
    <t>Install Revenue Management via Online</t>
  </si>
  <si>
    <t>Email sent on October 07, 2025, at 4.00 PM</t>
  </si>
  <si>
    <t>Email sent on December 16, 2025, at 4.27 PM</t>
  </si>
  <si>
    <t>Email sent on August 05, 2025, at 10.00 AM</t>
  </si>
  <si>
    <t>Email sent on July 08, 2025, at 5.00 PM</t>
  </si>
  <si>
    <t>Annual Maintenance |e:27-01-26|e:28-01-26|</t>
  </si>
  <si>
    <t>Training Daily Flash via Online</t>
  </si>
  <si>
    <t>Email sent on November 26, 2025, at 3.00 PM</t>
  </si>
  <si>
    <t>Email sent on October 20, 2025, at 12.00 PM</t>
  </si>
  <si>
    <t>Annual Maintenance |d:15-01-26|</t>
  </si>
  <si>
    <t>Email sent on September 16, 2025, at 11.00 AM</t>
  </si>
  <si>
    <t>Email sent on October 16, 2025, at 2.00 PM</t>
  </si>
  <si>
    <t>Update Report Request &amp; Refresh Training</t>
  </si>
  <si>
    <t>Email sent on September 03, 2025, at 3.00 PM</t>
  </si>
  <si>
    <t>Email sent on October 07, 2025, at 8.00 PM</t>
  </si>
  <si>
    <t>Integration Channel Manager Siteminder</t>
  </si>
  <si>
    <t>Email sent on December 17, 2025, at 2.01 PM</t>
  </si>
  <si>
    <t>Interface IPTV Samsung Aptavis via Online</t>
  </si>
  <si>
    <t>Review POS Issue via Online</t>
  </si>
  <si>
    <t xml:space="preserve">Refresh Training IA/AR &amp; FC </t>
  </si>
  <si>
    <t>Email sent on August 11, 2025, at 11.00 AM</t>
  </si>
  <si>
    <t>Refresh Training S&amp;M Module</t>
  </si>
  <si>
    <t>Training IT Module via Online</t>
  </si>
  <si>
    <t>Email sent on November 28, 2025, at 4.00 PM</t>
  </si>
  <si>
    <t>Email sent on January 29, 2026, at 5.00 PM</t>
  </si>
  <si>
    <t>Cut Off Database POS &amp; FO |w:8-02-26|</t>
  </si>
  <si>
    <t>SPEC-REQ</t>
  </si>
  <si>
    <t>Overview Financial Report |w:02-02-26|</t>
  </si>
  <si>
    <t>Review Setup Project d'primahotel Yogyakarta</t>
  </si>
  <si>
    <t>Overview Accounting Data</t>
  </si>
  <si>
    <t>Add 1 Room via Online</t>
  </si>
  <si>
    <t>Email sent on August 11, 2025, at 4.00 PM</t>
  </si>
  <si>
    <t>Email sent on August 18, 2025, at 4.00 PM</t>
  </si>
  <si>
    <t>Annual Maintenance.</t>
  </si>
  <si>
    <t>Tarining Market List Module via Online</t>
  </si>
  <si>
    <t>Meeting: Standardization Reports</t>
  </si>
  <si>
    <t>Email sent on February 10, 2026, at 11.00 AM</t>
  </si>
  <si>
    <t>Email sent on February 16, 2026, at 12.00 PM</t>
  </si>
  <si>
    <t>Implementation Split Room via Online</t>
  </si>
  <si>
    <t>IMPLEMENTATION</t>
  </si>
  <si>
    <t>Email sent on July 29, 2025, at 10.00 AM</t>
  </si>
  <si>
    <t>Email sent on August 18, 2025, at 5.00 PM</t>
  </si>
  <si>
    <t>Training Backup Otomatis via Online</t>
  </si>
  <si>
    <t>Email sent on October 08, 2025, at 5.00 PM</t>
  </si>
  <si>
    <t>On Line Training FO Module [13.00 WIB]</t>
  </si>
  <si>
    <t>Email sent on February 18, 2026, at 12.00 PM</t>
  </si>
  <si>
    <t>On Line Training POS Module [11.00] &amp; On Line Training Back Office Module [10.00]</t>
  </si>
  <si>
    <t>Zoom Meeting: Review PB1 &amp; Service Charge</t>
  </si>
  <si>
    <t>Email sent on March 20, 2026, at 10.01 AM</t>
  </si>
  <si>
    <t>Review Data Back Office Module</t>
  </si>
  <si>
    <t>Prepare Cut Off Data</t>
  </si>
  <si>
    <t>Email sent on October 16, 2025, at 4.00 PM</t>
  </si>
  <si>
    <t>Interface Revenue Management Infinito via Online</t>
  </si>
  <si>
    <t>Check Accounting Module to HO</t>
  </si>
  <si>
    <t>Email sent on August 04, 2025, at 4.00 PM</t>
  </si>
  <si>
    <t>Email sent on July 08, 2025, at 3.00 PM</t>
  </si>
  <si>
    <t>Annual Maintenance |e:5-3-26|</t>
  </si>
  <si>
    <t>Email sent on March 17, 2026, at 11.00 AM</t>
  </si>
  <si>
    <t>Email sent on April 07, 2026, at 11.00 AM</t>
  </si>
  <si>
    <t>Mentoring Update Data (Server Crash)</t>
  </si>
  <si>
    <t>Continue Mentoring Update Data (Server Crash)</t>
  </si>
  <si>
    <t>Email sent on January 27, 2026, at 3.01 PM</t>
  </si>
  <si>
    <t>Install CRM BookingWhizz via Online</t>
  </si>
  <si>
    <t>Migration Server &amp; SBEC Discussion</t>
  </si>
  <si>
    <t>Review PB1 Export &amp; Annual Maintenance</t>
  </si>
  <si>
    <t>Integration CM Excely via Online</t>
  </si>
  <si>
    <t>Refresh Training |W:26-12-25|</t>
  </si>
  <si>
    <t>Email sent on March 17, 2026, at 3.00 PM</t>
  </si>
  <si>
    <t>Email sent on July 09, 2025, at 4.00 PM</t>
  </si>
  <si>
    <t>Mentoring End Of Month Process</t>
  </si>
  <si>
    <t>Email sent on January 09, 2026, at 4.01 PM</t>
  </si>
  <si>
    <t>Refresh Trainig Right [14.00] |e:30-01-26|</t>
  </si>
  <si>
    <t>Email sent on February 24, 2026, at 3.00 PM</t>
  </si>
  <si>
    <t>Email sent on February 25, 2026, at 10.00 AM</t>
  </si>
  <si>
    <t>Cut Off Database</t>
  </si>
  <si>
    <t>Paperless Treatment for Inventory Module</t>
  </si>
  <si>
    <t>Email sent on July 29, 2025, at 11.00 AM</t>
  </si>
  <si>
    <t>Add Outlet &amp; Refresh Training</t>
  </si>
  <si>
    <t>Review PowerME via Online</t>
  </si>
  <si>
    <t>Annual Maintenance |w:27-2-26|</t>
  </si>
  <si>
    <t>Email sent on December 01, 2025, at 9.00 PM</t>
  </si>
  <si>
    <t>Email sent on January 19, 2026, at 6.01 PM</t>
  </si>
  <si>
    <t>Training IA &amp; AR Module via Online</t>
  </si>
  <si>
    <t>Email sent on September 02, 2025, at 5.00 PM</t>
  </si>
  <si>
    <t>Email sent on October 14, 2025, at 4.00 PM</t>
  </si>
  <si>
    <t>Email sent on July 28, 2025, at 11.00 AM</t>
  </si>
  <si>
    <t>Email sent on December 11, 2025, at 3.00 PM</t>
  </si>
  <si>
    <t>Email sent on July 09, 2025, at 5.00 PM</t>
  </si>
  <si>
    <t>Review Setup Data</t>
  </si>
  <si>
    <t>Add License 6 PowerGO</t>
  </si>
  <si>
    <t>Email sent on July 23, 2025, at 2.00 PM</t>
  </si>
  <si>
    <t>Annual Maintenance |e:6-01-26|</t>
  </si>
  <si>
    <t>Install Revenue Management Infinito via Online</t>
  </si>
  <si>
    <t>Email sent on August 21, 2025, at 4.00 PM</t>
  </si>
  <si>
    <t>Email sent on September 01, 2025, at 4.00 PM</t>
  </si>
  <si>
    <t>Training FB Module via Online</t>
  </si>
  <si>
    <t>Email sent on April 20, 2026, at 11.01 AM</t>
  </si>
  <si>
    <t>Training PowerRUNNER via Online</t>
  </si>
  <si>
    <t>Annual Maintenance |e:28-01-26|e:4-02-26|</t>
  </si>
  <si>
    <t>Evaluation Accounting Module</t>
  </si>
  <si>
    <t>Email sent on July 21, 2025, at 10.00 AM</t>
  </si>
  <si>
    <t>Email sent on October 20, 2025, at 4.00 PM</t>
  </si>
  <si>
    <t>Training AR &amp; GL Module [10.00] |w:12-01-26</t>
  </si>
  <si>
    <t>Training IT &amp; Accounting Module |e:4-03-26|</t>
  </si>
  <si>
    <t>Email sent on February 23, 2026, at 4.00 PM</t>
  </si>
  <si>
    <t>Annual Maintenance &amp; Add Outlet</t>
  </si>
  <si>
    <t>Interface Infinito Revenue Management via Online</t>
  </si>
  <si>
    <t>Email sent on August 14, 2025, at 8.00 PM</t>
  </si>
  <si>
    <t>Interface CRM BookingWhizz via Online</t>
  </si>
  <si>
    <t>Email sent on January 14, 2026, at 11.00 AM</t>
  </si>
  <si>
    <t>Email sent on August 18, 2025, at 3.00 PM</t>
  </si>
  <si>
    <t>Email sent on October 16, 2025, at 5.00 PM</t>
  </si>
  <si>
    <t>Email sent on October 16, 2025, at 3.00 PM</t>
  </si>
  <si>
    <t>Refresh Training |w:29-01-26|w:19-02-26|</t>
  </si>
  <si>
    <t>Email sent on March 09, 2026, at 5.00 PM</t>
  </si>
  <si>
    <t>Email sent on October 29, 2025, at 3.00 PM</t>
  </si>
  <si>
    <t>Email sent on October 29, 2025, at 4.00 PM</t>
  </si>
  <si>
    <t>Install Infinito Interface via Online</t>
  </si>
  <si>
    <t>Email sent on July 28, 2025, at 3.00 PM</t>
  </si>
  <si>
    <t>Review Balance Sheet</t>
  </si>
  <si>
    <t>Overview Accouting Module &amp; Retraining</t>
  </si>
  <si>
    <t>Training Inventory Module</t>
  </si>
  <si>
    <t>Email sent on January 06, 2026, at 3.01 PM</t>
  </si>
  <si>
    <t>Email sent on July 18, 2025, at 10.00 AM</t>
  </si>
  <si>
    <t>Email sent on August 04, 2025, at 6.00 PM</t>
  </si>
  <si>
    <t>Annual Maintenance |e:19-2-26|</t>
  </si>
  <si>
    <t>Email sent on September 11, 2025, at 4.00 PM</t>
  </si>
  <si>
    <t>REJECTED</t>
  </si>
  <si>
    <t>Email sent on July 25, 2025, at 5.00 PM</t>
  </si>
  <si>
    <t>Email sent on August 07, 2025, at 11.00 AM</t>
  </si>
  <si>
    <t>Refresh Training Accounting Module |w:18-02-26|</t>
  </si>
  <si>
    <t>Email sent on April 06, 2026, at 5.00 PM</t>
  </si>
  <si>
    <t>Migration CM from STAAH to D-EDGE</t>
  </si>
  <si>
    <t>Email sent on August 07, 2025, at 12.00 AM</t>
  </si>
  <si>
    <t>Email sent on October 14, 2025, at 3.00 PM</t>
  </si>
  <si>
    <t>Install PowerWS via Online</t>
  </si>
  <si>
    <t>Email sent on October 07, 2025, at 3.00 PM</t>
  </si>
  <si>
    <t>Install PowerRA 2 License via Online</t>
  </si>
  <si>
    <t>Email sent on February 20, 2026, at 3.00 PM</t>
  </si>
  <si>
    <t>Email sent on January 20, 2026, at 1.01 PM</t>
  </si>
  <si>
    <t>Retraining FO &amp; Accounting Module</t>
  </si>
  <si>
    <t>Training Operational Module via Online</t>
  </si>
  <si>
    <t>Training FO Module</t>
  </si>
  <si>
    <t>Retraining Accounting Module</t>
  </si>
  <si>
    <t>Install &amp; Training Power RA</t>
  </si>
  <si>
    <t>Refresh Training Front Office Module</t>
  </si>
  <si>
    <t>Email sent on October 09, 2025, at 10.00 AM</t>
  </si>
  <si>
    <t>Integration Keylock</t>
  </si>
  <si>
    <t>Email sent on October 29, 2025, at 2.00 PM</t>
  </si>
  <si>
    <t>Email sent on September 22, 2025, at 6.00 PM</t>
  </si>
  <si>
    <t>Re Setup Interface Siteminder via Online</t>
  </si>
  <si>
    <t>Training Inventory Module |e:11-02-26|</t>
  </si>
  <si>
    <t>Implementation PowerME &amp; Annual Maintenance</t>
  </si>
  <si>
    <t>Keylock Issue</t>
  </si>
  <si>
    <t>Rules of Deposit Module</t>
  </si>
  <si>
    <t>Migration CM Siteminder to D-EDGE via Online</t>
  </si>
  <si>
    <t>Add 1 License PowerRA &amp; Training via Online</t>
  </si>
  <si>
    <t>Email sent on December 01, 2025, at 8.00 PM</t>
  </si>
  <si>
    <t>Email sent on December 03, 2025, at 4.00 PM</t>
  </si>
  <si>
    <t>Annual Maintenance |w:23-2-26|</t>
  </si>
  <si>
    <t>Email sent on March 17, 2026, at 12.01 PM</t>
  </si>
  <si>
    <t>Email sent on January 13, 2026, at 4.00 PM</t>
  </si>
  <si>
    <t>Email sent on August 12, 2025, at 3.00 PM</t>
  </si>
  <si>
    <t>Annual Maintenance |w:19-02-26|</t>
  </si>
  <si>
    <t>Training Cost Control Module via Online</t>
  </si>
  <si>
    <t>Maintenance Billing Issue |w:20-01-26|</t>
  </si>
  <si>
    <t>Review Data</t>
  </si>
  <si>
    <t>Email sent on September 08, 2025, at 4.00 PM</t>
  </si>
  <si>
    <t>Email sent on September 16, 2025, at 2.00 PM</t>
  </si>
  <si>
    <t>Refresh Training |w:19-01-26|</t>
  </si>
  <si>
    <t>Email sent on February 09, 2026, at 4.00 PM</t>
  </si>
  <si>
    <t>Email sent on February 09, 2026, at 8.00 PM</t>
  </si>
  <si>
    <t>Training POS Module via Online</t>
  </si>
  <si>
    <t>Re-Activation Power Pro Cloud Full Version</t>
  </si>
  <si>
    <t>Email sent on August 08, 2025, at 4.00 PM</t>
  </si>
  <si>
    <t>Retraining &amp; Annual Maintenance</t>
  </si>
  <si>
    <t>Refresh Training &amp; Scan BF POS |e:27-01-26|e:28-01|</t>
  </si>
  <si>
    <t>Dafam Pacific Caesar Surabaya</t>
  </si>
  <si>
    <t>Email sent on December 05, 2025, at 11.00 AM</t>
  </si>
  <si>
    <t>Email sent on April 02, 2026, at 6.00 PM</t>
  </si>
  <si>
    <t>Refresh Training |e:5-02-26|</t>
  </si>
  <si>
    <t>Email sent on March 11, 2026, at 5.01 PM</t>
  </si>
  <si>
    <t>Migration CM from Siteminder to STAAH via Online</t>
  </si>
  <si>
    <t>Email sent on August 08, 2025, at 3.00 PM</t>
  </si>
  <si>
    <t>Training Accounting Module via Online</t>
  </si>
  <si>
    <t>Email sent on October 20, 2025, at 6.00 PM</t>
  </si>
  <si>
    <t>Training FO Module via Online</t>
  </si>
  <si>
    <t>Refresh Training IA &amp; AR Module via Online</t>
  </si>
  <si>
    <t>Refresh Training |e:12-1-26|</t>
  </si>
  <si>
    <t>Refresh Training |w:10-02-26|</t>
  </si>
  <si>
    <t>Re-Activation System</t>
  </si>
  <si>
    <t>Email sent on January 14, 2026, at 4.00 PM</t>
  </si>
  <si>
    <t>Overview IT System Module</t>
  </si>
  <si>
    <t>Email sent on October 16, 2025, at 11.00 AM</t>
  </si>
  <si>
    <t>Email sent on December 09, 2025, at 3.00 PM</t>
  </si>
  <si>
    <t>Email sent on January 05, 2026, at 3.01 PM</t>
  </si>
  <si>
    <t>Email sent on July 07, 2025, at 1.00 PM</t>
  </si>
  <si>
    <t>Email sent on September 08, 2025, at 6.00 PM</t>
  </si>
  <si>
    <t>Interface Revenue Management via Online</t>
  </si>
  <si>
    <t>Email sent on January 08, 2026, at 10.00 AM</t>
  </si>
  <si>
    <t>Email sent on November 18, 2025, at 4.00 PM</t>
  </si>
  <si>
    <t>Mentoring Update Data (Database Down)</t>
  </si>
  <si>
    <t>Email sent on October 29, 2025, at 5.00 PM</t>
  </si>
  <si>
    <t>Mentoring EOM |e:2-03-26|</t>
  </si>
  <si>
    <t>Mentoring EOM</t>
  </si>
  <si>
    <t>Email sent on April 07, 2026, at 3.00 PM</t>
  </si>
  <si>
    <t>Training FO Sales Module via Online</t>
  </si>
  <si>
    <t>Refresh Traininig</t>
  </si>
  <si>
    <t>Email sent on August 26, 2025, at 11.00 AM</t>
  </si>
  <si>
    <t>Email sent on August 28, 2025, at 5.00 PM</t>
  </si>
  <si>
    <t>Overview SM &amp; Acct Report |e:16-02-26</t>
  </si>
  <si>
    <t>Email sent on February 25, 2026, at 4.00 PM</t>
  </si>
  <si>
    <t>Add 6 Rooms</t>
  </si>
  <si>
    <t>Email sent on July 21, 2025, at 12.00 PM</t>
  </si>
  <si>
    <t>Refresh Training |d:3-02-26|</t>
  </si>
  <si>
    <t>Setup New Server &amp; Maintenance</t>
  </si>
  <si>
    <t>Integration to Review Pro via Online</t>
  </si>
  <si>
    <t>Interface PowerME via Online</t>
  </si>
  <si>
    <t>Email sent on July 16, 2025, at 11.00 PM</t>
  </si>
  <si>
    <t>Setup &amp; Training Power ME</t>
  </si>
  <si>
    <t>Migration Server PHI</t>
  </si>
  <si>
    <t>Email sent on December 11, 2025, at 5.00 PM</t>
  </si>
  <si>
    <t>Refresh Training FO Module</t>
  </si>
  <si>
    <t>Retraining FO Module via Online</t>
  </si>
  <si>
    <t>Refresh Training PO &amp; RECV Module|e:21-01-26|</t>
  </si>
  <si>
    <t>Email sent on September 10, 2025, at 11.00 AM</t>
  </si>
  <si>
    <t>Update Additional Reports</t>
  </si>
  <si>
    <t>Refreh Training Accounting Module</t>
  </si>
  <si>
    <t>Email sent on February 12, 2026, at 3.00 PM</t>
  </si>
  <si>
    <t>Email sent on November 18, 2025, at 3.00 PM</t>
  </si>
  <si>
    <t>Training INV &amp; GL Module</t>
  </si>
  <si>
    <t>Email sent on April 14, 2026, at 3.01 PM</t>
  </si>
  <si>
    <t>System Health &amp; Optimazion via Online</t>
  </si>
  <si>
    <t>Email sent on July 21, 2025, at 4.00 PM</t>
  </si>
  <si>
    <t>Training ADDHOC Module [13.00] |w:12-1-26|</t>
  </si>
  <si>
    <t>Training CM: OTA Rate Code</t>
  </si>
  <si>
    <t>Add Module Multi Properties &amp; Maintenance</t>
  </si>
  <si>
    <t>Refresh Training |e:28-01-26|</t>
  </si>
  <si>
    <t>Connection Issue System</t>
  </si>
  <si>
    <t>Email sent on July 14, 2025, at 4.00 PM</t>
  </si>
  <si>
    <t>Training CC Module [09.30] |w:9-01-26|</t>
  </si>
  <si>
    <t>Retraining &amp; Report Issue</t>
  </si>
  <si>
    <t>Training IA &amp; AR via Online</t>
  </si>
  <si>
    <t>Training Front Office Module via Online</t>
  </si>
  <si>
    <t>Training PowerME |e:13-1-26|</t>
  </si>
  <si>
    <t>Email sent on January 19, 2026, at 11.00 AM</t>
  </si>
  <si>
    <t>Email sent on January 23, 2026, at 3.01 PM</t>
  </si>
  <si>
    <t>Update Request Report |e:5-20-26</t>
  </si>
  <si>
    <t>Install PowerME</t>
  </si>
  <si>
    <t>Financial Report Issue</t>
  </si>
  <si>
    <t>Training AR Module</t>
  </si>
  <si>
    <t>Discussion PowerME Module</t>
  </si>
  <si>
    <t>Retraining FO Module</t>
  </si>
  <si>
    <t xml:space="preserve">Retraining </t>
  </si>
  <si>
    <t>Check Accounting Data</t>
  </si>
  <si>
    <t>Email sent on July 31, 2025, at 2.00 PM</t>
  </si>
  <si>
    <t>Installation PowerME &amp; Runner</t>
  </si>
  <si>
    <t>Email sent on July 22, 2025, at 11.00 AM</t>
  </si>
  <si>
    <t>Refresh Training PowerME</t>
  </si>
  <si>
    <t>Email sent on August 29, 2025, at 3.00 PM</t>
  </si>
  <si>
    <t>Email sent on October 06, 2025, at 4.00 PM</t>
  </si>
  <si>
    <t>Email sent on October 07, 2025, at 2.00 PM</t>
  </si>
  <si>
    <t>Training AR Module via Online</t>
  </si>
  <si>
    <t>Email sent on October 06, 2025, at 3.00 PM</t>
  </si>
  <si>
    <t>Training Revenue Manager |e:22-01-26|</t>
  </si>
  <si>
    <t>Email sent on February 04, 2026, at 11.00 AM</t>
  </si>
  <si>
    <t>House Folio Deposit Socialization [11.00]</t>
  </si>
  <si>
    <t>Training Cash Flow via Online</t>
  </si>
  <si>
    <t>Training Revenue Manager</t>
  </si>
  <si>
    <t>Email sent on July 10, 2025, at 12.00 PM</t>
  </si>
  <si>
    <t>Meeting Online D-Edge Issue</t>
  </si>
  <si>
    <t>Email sent on July 16, 2025, at 3.00 PM</t>
  </si>
  <si>
    <t>Email sent on September 30, 2025, at 11.00 AM</t>
  </si>
  <si>
    <t>Annual Maintenance |e:24-01-26|e:27-01-26|</t>
  </si>
  <si>
    <t>Email sent on February 18, 2026, at 3.00 PM</t>
  </si>
  <si>
    <t>Review EOM after Project Alpha</t>
  </si>
  <si>
    <t>Interface IPTV Garis Langit via Online</t>
  </si>
  <si>
    <t>Zoom Meeting: Review EOM</t>
  </si>
  <si>
    <t>Email sent on August 12, 2025, at 11.00 AM</t>
  </si>
  <si>
    <t>Email sent on October 07, 2025, at 6.00 PM</t>
  </si>
  <si>
    <t>Overview Issuing by Recipe</t>
  </si>
  <si>
    <t>Training Issuing by Recipe Module</t>
  </si>
  <si>
    <t>Email sent on October 07, 2025, at 5.00 PM</t>
  </si>
  <si>
    <t>Refresh Training &amp; Annual Maintenance |e:10-02-26|</t>
  </si>
  <si>
    <t>Annual Maintenance &amp; Training</t>
  </si>
  <si>
    <t>Email sent on August 11, 2025, at 12.00 PM</t>
  </si>
  <si>
    <t>Migration CM from STAAH to Exely via Online</t>
  </si>
  <si>
    <t>Email sent on December 17, 2025, at 11.00 AM</t>
  </si>
  <si>
    <t>Overview Room Avaibility</t>
  </si>
  <si>
    <t>Training E-Commerce</t>
  </si>
  <si>
    <t>Email sent on April 10, 2026, at 5.01 PM</t>
  </si>
  <si>
    <t>Maintenance Data |w:19-2-26</t>
  </si>
  <si>
    <t>Email sent on July 07, 2025, at 10.00 PM</t>
  </si>
  <si>
    <t>Migration Server</t>
  </si>
  <si>
    <t>Training GL Module via Online</t>
  </si>
  <si>
    <t>Training AP Module [14.00] |w:14-01-25|</t>
  </si>
  <si>
    <t>Email sent on October 14, 2025, at 10.00 AM</t>
  </si>
  <si>
    <t>Training Logistic Module [10.00]|e:4-02-26|</t>
  </si>
  <si>
    <t>Email sent on February 16, 2026, at 11.00 AM</t>
  </si>
  <si>
    <t>Annual Maintenance |e:16-2-26|e|19-2-26|</t>
  </si>
  <si>
    <t>Retraining POS Module</t>
  </si>
  <si>
    <t>Install Interface to Media Ceria (Membership)</t>
  </si>
  <si>
    <t>Email sent on November 02, 2025, at 11.00 PM</t>
  </si>
  <si>
    <t>Review Standardization Report |w:2-02-26|</t>
  </si>
  <si>
    <t>Overview Discrepancy System</t>
  </si>
  <si>
    <t>Training IA &amp; AR Module</t>
  </si>
  <si>
    <t>Probelm Solving Cash Clearance</t>
  </si>
  <si>
    <t>Email sent on September 15, 2025, at 6.00 PM</t>
  </si>
  <si>
    <t>Add 5 License IPOS, Retraining IPOS</t>
  </si>
  <si>
    <t>Refresh Training POS &amp; IPOS Module</t>
  </si>
  <si>
    <t>Email sent on October 13, 2025, at 5.00 PM</t>
  </si>
  <si>
    <t>Training FO Module [13.00] |w:6-02-26|</t>
  </si>
  <si>
    <t>Email sent on September 26, 2025, at 11.00 AM</t>
  </si>
  <si>
    <t>Veranda Hotel @Pakubuwono</t>
  </si>
  <si>
    <t>Server Migration</t>
  </si>
  <si>
    <t>Email sent on July 20, 2025, at 7.00 PM</t>
  </si>
  <si>
    <t>Training SM Module (BEO, GEO) [15.30] |w:19-01-26|</t>
  </si>
  <si>
    <t>Email sent on March 20, 2026, at 11.00 AM</t>
  </si>
  <si>
    <t>POS Issue &amp; Retraining |e:27-01-26|e:28-01-26|</t>
  </si>
  <si>
    <t>Email sent on September 15, 2025, at 4.00 PM</t>
  </si>
  <si>
    <t>Training Audit System at Power Pro Office</t>
  </si>
  <si>
    <t>IH-TRAINING</t>
  </si>
  <si>
    <t>Email sent on July 12, 2025, at 11.00 AM</t>
  </si>
  <si>
    <t>Integration Channel Manager Book n Link via Online</t>
  </si>
  <si>
    <t>Email sent on July 23, 2025, at 3.00 PM</t>
  </si>
  <si>
    <t>Overview System Issue</t>
  </si>
  <si>
    <t>Training Asset Module</t>
  </si>
  <si>
    <t>Training Accounting Module</t>
  </si>
  <si>
    <t>Overview Asset Data</t>
  </si>
  <si>
    <t>Refresh Training Accounting Department</t>
  </si>
  <si>
    <t>Email sent on August 13, 2025, at 5.00 PM</t>
  </si>
  <si>
    <t>Email sent on October 06, 2025, at 5.00 PM</t>
  </si>
  <si>
    <t>Training Asset Module via Online</t>
  </si>
  <si>
    <t>Training Void Billing [14.00] |e:24-02-25</t>
  </si>
  <si>
    <t>Email sent on October 16, 2025, at 10.00 AM</t>
  </si>
  <si>
    <t>Training FO Module [16.00] |e:27-01-26|</t>
  </si>
  <si>
    <t>Annual Maintenance |e:26-01-26|</t>
  </si>
  <si>
    <t>Refresh Training |w:7-02-26</t>
  </si>
  <si>
    <t>Email sent on March 03, 2026, at 11.00 AM</t>
  </si>
  <si>
    <t>Retraining [10.00] |e:27-01-26|</t>
  </si>
  <si>
    <t>Reporting Issue |w:2-02-26|</t>
  </si>
  <si>
    <t>Implementation Cloud Full Version</t>
  </si>
  <si>
    <t>Setup POS Banquet Module</t>
  </si>
  <si>
    <t>Training POS Banquet Module</t>
  </si>
  <si>
    <t>Email sent on August 26, 2025, at 4.00 PM</t>
  </si>
  <si>
    <t>Training &amp; Standby Live Event MICE</t>
  </si>
  <si>
    <t>Update Report Issue</t>
  </si>
  <si>
    <t>Install HSIA Megalos</t>
  </si>
  <si>
    <t>Overview System via Online</t>
  </si>
  <si>
    <t>Email sent on July 28, 2025, at 6.00 PM</t>
  </si>
  <si>
    <t>Refresh Training FO &amp; FB</t>
  </si>
  <si>
    <t>Email sent on March 03, 2026, at 12.00 PM</t>
  </si>
  <si>
    <t>Overview Back Office Module</t>
  </si>
  <si>
    <t>Email sent on January 15, 2026, at 4.00 PM</t>
  </si>
  <si>
    <t>Email sent on January 15, 2026, at 9.00 PM</t>
  </si>
  <si>
    <t>Training SM Module via Online</t>
  </si>
  <si>
    <t>Email sent on October 15, 2025, at 2.00 PM</t>
  </si>
  <si>
    <t>Evaluation Back Office Module</t>
  </si>
  <si>
    <t>Email sent on January 19, 2026, at 4.01 PM</t>
  </si>
  <si>
    <t>Add 1 Outlet</t>
  </si>
  <si>
    <t>Email sent on September 24, 2025, at 3.00 PM</t>
  </si>
  <si>
    <t>Overview Interface Keylock</t>
  </si>
  <si>
    <t>Presentation IPOS</t>
  </si>
  <si>
    <t>Email sent on January 21, 2026, at 5.00 PM</t>
  </si>
  <si>
    <t xml:space="preserve">Add 28 Rooms </t>
  </si>
  <si>
    <t>Integration Revenue Managemen KAI via Online</t>
  </si>
  <si>
    <t>Mentoring Update Data (Server Down)</t>
  </si>
  <si>
    <t>Email sent on July 08, 2025, at 4.00 PM</t>
  </si>
  <si>
    <t>Email sent on July 30, 2025, at 5.00 PM</t>
  </si>
  <si>
    <t>Email sent on December 01, 2025, at 5.00 PM</t>
  </si>
  <si>
    <t>Implementation Cloud FO Module</t>
  </si>
  <si>
    <t>Email sent on January 23, 2026, at 11.00 AM</t>
  </si>
  <si>
    <t>Implementation CloudFull Version</t>
  </si>
  <si>
    <t>Refresh Training &amp; Annual Maintenance |e:21-01-26|</t>
  </si>
  <si>
    <t>Standardization Reports</t>
  </si>
  <si>
    <t>Implementation PowerME</t>
  </si>
  <si>
    <t>Retraining Accounting Module at HO</t>
  </si>
  <si>
    <t>Training E-Commerce Module via Zoom</t>
  </si>
  <si>
    <t>Setup &amp; Training Cloud LITE Version</t>
  </si>
  <si>
    <t>Implementation Cloud LITE Version</t>
  </si>
  <si>
    <t>Email sent on July 25, 2025, at 11.00 AM</t>
  </si>
  <si>
    <t>Retraining AP &amp; GC Module</t>
  </si>
  <si>
    <t>Implementation Cloud POS &amp; BO Module</t>
  </si>
  <si>
    <t>Email sent on July 18, 2025, at 12.00 PM</t>
  </si>
  <si>
    <t>Continue Implementation</t>
  </si>
  <si>
    <t>Email sent on November 28, 2025, at 9.00 PM</t>
  </si>
  <si>
    <t>Email sent on November 11, 2025, at 2.00 PM</t>
  </si>
  <si>
    <t>Email sent on January 22, 2026, at 3.01 PM</t>
  </si>
  <si>
    <t>Implementation Split HO</t>
  </si>
  <si>
    <t>Email sent on August 13, 2025, at 6.00 PM</t>
  </si>
  <si>
    <t>Email sent on August 14, 2025, at 5.00 PM</t>
  </si>
  <si>
    <t>Migration Server &amp; Refresh Training</t>
  </si>
  <si>
    <t>Refresh Training |w:19-02-26</t>
  </si>
  <si>
    <t>Email sent on September 01, 2025, at 2.00 PM</t>
  </si>
  <si>
    <t>Integration CM Siteminder</t>
  </si>
  <si>
    <t>Migration CM from Book n Link to RateGain</t>
  </si>
  <si>
    <t>Email sent on November 07, 2025, at 11.00 AM</t>
  </si>
  <si>
    <t>Email sent on January 27, 2026, at 2.01 PM</t>
  </si>
  <si>
    <t>Overview Accounting Data |w:9-01-26|</t>
  </si>
  <si>
    <t>Migration Management from HIG</t>
  </si>
  <si>
    <t>Review Accounting Data</t>
  </si>
  <si>
    <t>Email sent on September 08, 2025, at 5.00 PM</t>
  </si>
  <si>
    <t>Training Accounting Module at Office Power Pro</t>
  </si>
  <si>
    <t>Interface Revenue Management Infinito</t>
  </si>
  <si>
    <t>Continue Implementation Cloud Full Version</t>
  </si>
  <si>
    <t>Email sent on March 16, 2026, at 10.01 AM</t>
  </si>
  <si>
    <t>Training IT Module [10.00 WIB]|e:3-02-26|</t>
  </si>
  <si>
    <t>Implementation Cloud LITE Version via Online</t>
  </si>
  <si>
    <t>Email sent on January 06, 2026, at 3.00 PM</t>
  </si>
  <si>
    <t>Email sent on April 15, 2026, at 5.00 PM</t>
  </si>
  <si>
    <t>Email sent on April 20, 2026, at 6.01 PM</t>
  </si>
  <si>
    <t>Mentoring EOM Consolidation |e:27-01-26|</t>
  </si>
  <si>
    <t>Email sent on April 07, 2026, at 4.00 PM</t>
  </si>
  <si>
    <t>Email sent on April 08, 2026, at 3.01 PM</t>
  </si>
  <si>
    <t>Separation System</t>
  </si>
  <si>
    <t>Implementation Cloud Version</t>
  </si>
  <si>
    <t>Email sent on April 08, 2026, at 4.00 PM</t>
  </si>
  <si>
    <t>Migration Server &amp; Refresh Training |e:21-01-26|</t>
  </si>
  <si>
    <t>Email sent on January 30, 2026, at 11.00 AM</t>
  </si>
  <si>
    <t>Interface Keylock Issue</t>
  </si>
  <si>
    <t>Training CC Module |e:5-01-26|</t>
  </si>
  <si>
    <t>Email sent on January 13, 2026, at 5.00 PM</t>
  </si>
  <si>
    <t>Email sent on August 26, 2025, at 5.00 PM</t>
  </si>
  <si>
    <t>Annual Maintenance &amp; Refresh Training |e:16-02-26|</t>
  </si>
  <si>
    <t>Review System for Audit</t>
  </si>
  <si>
    <t>Training NA Module via Online</t>
  </si>
  <si>
    <t>Retraining CA</t>
  </si>
  <si>
    <t>Email sent on October 21, 2025, at 11.00 AM</t>
  </si>
  <si>
    <t>Training PR &amp; PO via Online</t>
  </si>
  <si>
    <t>Preparation EOM</t>
  </si>
  <si>
    <t>Training Power Runner</t>
  </si>
  <si>
    <t>Email sent on July 15, 2025, at 5.00 PM</t>
  </si>
  <si>
    <t>Email sent on December 15, 2025, at 5.00 PM</t>
  </si>
  <si>
    <t>Training S&amp;M Module via Online</t>
  </si>
  <si>
    <t>Refresh Training |e:30-01-26|</t>
  </si>
  <si>
    <t>Email sent on March 06, 2026, at 12.00 PM</t>
  </si>
  <si>
    <t>Retraining &amp; Overview Accounting Module</t>
  </si>
  <si>
    <t>Overview End Of Month System</t>
  </si>
  <si>
    <t>Training EOM via Online</t>
  </si>
  <si>
    <t>Training BEO Module |e:14-1-26|</t>
  </si>
  <si>
    <t>Email sent on April 20, 2026, at 5.01 PM</t>
  </si>
  <si>
    <t>Email sent on July 09, 2025, at 12.00 PM</t>
  </si>
  <si>
    <t>Refresh Training SM Module</t>
  </si>
  <si>
    <t>Email sent on December 17, 2025, at 11.37 AM</t>
  </si>
  <si>
    <t>Training All Module</t>
  </si>
  <si>
    <t>Email sent on July 16, 2025, at 4.00 PM</t>
  </si>
  <si>
    <t>Overview Accounting Module</t>
  </si>
  <si>
    <t>Integration CM Exely via Online</t>
  </si>
  <si>
    <t>Training Sales Module via Online</t>
  </si>
  <si>
    <t>Training Cost Control Module via Zoom</t>
  </si>
  <si>
    <t>Review ECOS</t>
  </si>
  <si>
    <t>Training Recipe &amp; Cost Control Module via Online</t>
  </si>
  <si>
    <t>Review Report |w:19-2-26|</t>
  </si>
  <si>
    <t>Asset Issue</t>
  </si>
  <si>
    <t>Presentation PowerGO &amp; Issue System</t>
  </si>
  <si>
    <t>Email sent on December 18, 2025, at 3.00 PM</t>
  </si>
  <si>
    <t>Training FB Service Module via Online</t>
  </si>
  <si>
    <t>Email sent on July 16, 2025, at 10.00 PM</t>
  </si>
  <si>
    <t xml:space="preserve">Add 19 Rooms Number </t>
  </si>
  <si>
    <t>Email sent on July 09, 2025, at 3.00 PM</t>
  </si>
  <si>
    <t>Email sent on October 13, 2025, at 12.00 PM</t>
  </si>
  <si>
    <t>Check Accounting System</t>
  </si>
  <si>
    <t>Overview Statistic Data</t>
  </si>
  <si>
    <t>Presentation Power GO via Online</t>
  </si>
  <si>
    <t>Email sent on August 26, 2025, at 6.00 PM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</si>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</sst>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-&quot;mmm&quot;-&quot;yy"/>
    <numFmt numFmtId="165" formatCode="d\-mmm\-yy"/>
    <numFmt numFmtId="166" formatCode="d\ mmm\ yy"/>
    <numFmt numFmtId="167" formatCode="d\-mmmm\-yy"/>
    <numFmt numFmtId="168" formatCode="d\ mmmm\ yy"/>
    <numFmt numFmtId="169" formatCode="dd\ mmm\ yy"/>
  </numFmts>
  <fonts count="6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1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3" fontId="2" fillId="5" borderId="1" xfId="0" applyNumberFormat="1" applyFont="1" applyFill="1" applyBorder="1" applyAlignment="1">
      <alignment horizontal="center" wrapText="1"/>
    </xf>
    <xf numFmtId="10" fontId="2" fillId="5" borderId="1" xfId="0" applyNumberFormat="1" applyFont="1" applyFill="1" applyBorder="1" applyAlignment="1">
      <alignment horizontal="center" wrapText="1"/>
    </xf>
    <xf numFmtId="164" fontId="2" fillId="6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0" fontId="4" fillId="5" borderId="1" xfId="0" applyFont="1" applyFill="1" applyBorder="1"/>
    <xf numFmtId="0" fontId="2" fillId="5" borderId="1" xfId="0" applyFont="1" applyFill="1" applyBorder="1"/>
    <xf numFmtId="164" fontId="2" fillId="5" borderId="0" xfId="0" applyNumberFormat="1" applyFont="1" applyFill="1" applyAlignment="1">
      <alignment horizontal="center"/>
    </xf>
    <xf numFmtId="0" fontId="3" fillId="0" borderId="0" xfId="0" applyFont="1"/>
    <xf numFmtId="165" fontId="2" fillId="5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  <xf numFmtId="0" fontId="4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/>
    <xf numFmtId="15" fontId="2" fillId="4" borderId="1" xfId="0" applyNumberFormat="1" applyFont="1" applyFill="1" applyBorder="1" applyAlignment="1">
      <alignment horizontal="center"/>
    </xf>
    <xf numFmtId="3" fontId="4" fillId="0" borderId="1" xfId="0" applyNumberFormat="1" applyFont="1" applyBorder="1"/>
    <xf numFmtId="10" fontId="4" fillId="0" borderId="1" xfId="0" applyNumberFormat="1" applyFont="1" applyBorder="1"/>
    <xf numFmtId="164" fontId="4" fillId="6" borderId="1" xfId="0" applyNumberFormat="1" applyFont="1" applyFill="1" applyBorder="1"/>
    <xf numFmtId="16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/>
    </xf>
    <xf numFmtId="3" fontId="4" fillId="5" borderId="1" xfId="0" applyNumberFormat="1" applyFont="1" applyFill="1" applyBorder="1"/>
    <xf numFmtId="10" fontId="4" fillId="5" borderId="1" xfId="0" applyNumberFormat="1" applyFont="1" applyFill="1" applyBorder="1"/>
    <xf numFmtId="15" fontId="2" fillId="5" borderId="1" xfId="0" applyNumberFormat="1" applyFont="1" applyFill="1" applyBorder="1"/>
    <xf numFmtId="3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8" fontId="2" fillId="6" borderId="1" xfId="0" applyNumberFormat="1" applyFont="1" applyFill="1" applyBorder="1" applyAlignment="1">
      <alignment horizontal="center" wrapText="1"/>
    </xf>
    <xf numFmtId="166" fontId="2" fillId="6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9" fontId="2" fillId="5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165" fontId="2" fillId="4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6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0" borderId="0" xfId="0" applyFont="1" applyAlignment="1">
      <alignment horizontal="center"/>
    </xf>
    <xf numFmtId="164" fontId="2" fillId="5" borderId="2" xfId="0" applyNumberFormat="1" applyFont="1" applyFill="1" applyBorder="1"/>
    <xf numFmtId="0" fontId="2" fillId="5" borderId="0" xfId="0" applyFont="1" applyFill="1" applyAlignment="1">
      <alignment horizontal="center" wrapText="1"/>
    </xf>
    <xf numFmtId="0" fontId="4" fillId="5" borderId="0" xfId="0" applyFont="1" applyFill="1"/>
    <xf numFmtId="0" fontId="2" fillId="0" borderId="2" xfId="0" applyFont="1" applyBorder="1"/>
    <xf numFmtId="165" fontId="2" fillId="5" borderId="2" xfId="0" applyNumberFormat="1" applyFont="1" applyFill="1" applyBorder="1"/>
    <xf numFmtId="0" fontId="2" fillId="0" borderId="0" xfId="0" applyFont="1" applyAlignment="1">
      <alignment horizontal="center" wrapText="1"/>
    </xf>
    <xf numFmtId="0" fontId="4" fillId="0" borderId="0" xfId="0" applyFont="1"/>
    <xf numFmtId="0" fontId="2" fillId="0" borderId="0" xfId="0" applyFont="1"/>
    <xf numFmtId="164" fontId="2" fillId="4" borderId="2" xfId="0" applyNumberFormat="1" applyFont="1" applyFill="1" applyBorder="1"/>
    <xf numFmtId="166" fontId="2" fillId="6" borderId="1" xfId="0" applyNumberFormat="1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wrapText="1"/>
    </xf>
    <xf numFmtId="166" fontId="2" fillId="6" borderId="0" xfId="0" applyNumberFormat="1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15" fontId="2" fillId="5" borderId="2" xfId="0" applyNumberFormat="1" applyFont="1" applyFill="1" applyBorder="1"/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7" fontId="2" fillId="5" borderId="1" xfId="0" applyNumberFormat="1" applyFont="1" applyFill="1" applyBorder="1" applyAlignment="1">
      <alignment horizontal="center"/>
    </xf>
    <xf numFmtId="15" fontId="2" fillId="5" borderId="1" xfId="0" applyNumberFormat="1" applyFont="1" applyFill="1" applyBorder="1" applyAlignment="1">
      <alignment horizontal="center"/>
    </xf>
    <xf numFmtId="164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%20Confi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Confi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AE686"/>
  <sheetViews>
    <sheetView tabSelected="1" workbookViewId="0">
      <pane ySplit="1" topLeftCell="A2" activePane="bottomLeft" state="frozen"/>
      <selection pane="bottomLeft" activeCell="U582" sqref="U582"/>
    </sheetView>
  </sheetViews>
  <sheetFormatPr defaultColWidth="12.6640625" defaultRowHeight="15.75" customHeight="1" x14ac:dyDescent="0.25"/>
  <cols>
    <col min="1" max="1" width="15.77734375" customWidth="1"/>
    <col min="2" max="2" width="63" customWidth="1"/>
    <col min="3" max="3" width="13.44140625" customWidth="1"/>
    <col min="4" max="4" width="18" customWidth="1"/>
    <col min="5" max="5" width="17.88671875" customWidth="1"/>
    <col min="6" max="6" width="13.21875" customWidth="1"/>
    <col min="7" max="7" width="12.21875" customWidth="1"/>
    <col min="8" max="8" width="12.77734375" customWidth="1"/>
    <col min="9" max="9" width="12.6640625" customWidth="1"/>
    <col min="10" max="10" width="16.6640625" customWidth="1"/>
    <col min="11" max="11" width="15.44140625" customWidth="1"/>
    <col min="12" max="12" width="17.88671875" customWidth="1"/>
    <col min="13" max="13" width="12.6640625" customWidth="1"/>
    <col min="14" max="14" width="12" customWidth="1"/>
    <col min="15" max="15" width="14.33203125" customWidth="1"/>
    <col min="16" max="16" width="14.77734375" customWidth="1"/>
    <col min="17" max="17" width="18.109375" customWidth="1"/>
    <col min="18" max="18" width="18.21875" customWidth="1"/>
    <col min="19" max="19" width="11.77734375" customWidth="1"/>
    <col min="20" max="20" width="16.88671875" customWidth="1"/>
    <col min="21" max="21" width="16.44140625" customWidth="1"/>
    <col min="22" max="22" width="23.6640625" customWidth="1"/>
    <col min="23" max="23" width="36.44140625" customWidth="1"/>
    <col min="24" max="24" width="35.33203125" customWidth="1"/>
    <col min="25" max="25" width="14" customWidth="1"/>
    <col min="26" max="26" width="9.77734375" customWidth="1"/>
    <col min="27" max="27" width="8.21875" customWidth="1"/>
    <col min="28" max="28" width="12.33203125" customWidth="1"/>
    <col min="29" max="29" width="15" customWidth="1"/>
    <col min="30" max="30" width="17.33203125" customWidth="1"/>
    <col min="31" max="31" width="12.109375" customWidth="1"/>
  </cols>
  <sheetData>
    <row r="1" spans="1:31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5.75" customHeight="1" x14ac:dyDescent="0.3">
      <c r="A2" s="6">
        <v>4654</v>
      </c>
      <c r="B2" s="7" t="s">
        <v>31</v>
      </c>
      <c r="C2" s="8">
        <v>1</v>
      </c>
      <c r="D2" s="9" t="s">
        <v>32</v>
      </c>
      <c r="E2" s="6" t="s">
        <v>33</v>
      </c>
      <c r="F2" s="10">
        <v>45784</v>
      </c>
      <c r="G2" s="10">
        <v>45791</v>
      </c>
      <c r="H2" s="11">
        <v>238</v>
      </c>
      <c r="I2" s="12">
        <v>238</v>
      </c>
      <c r="J2" s="13"/>
      <c r="K2" s="14">
        <v>45792</v>
      </c>
      <c r="L2" s="11"/>
      <c r="M2" s="11"/>
      <c r="N2" s="15"/>
      <c r="O2" s="15"/>
      <c r="P2" s="15"/>
      <c r="Q2" s="15"/>
      <c r="R2" s="15"/>
      <c r="S2" s="15"/>
      <c r="T2" s="16" t="str">
        <f t="shared" ref="T2:T5" ca="1" si="0">IF($U2="","",IF($U2&lt;=3,"Excellent",IF($U2&lt;=7,"Good",IF($U2&lt;=14,"Average",IF($U2&lt;=30,"Poor",IF($U2&gt;=30,"Bad"))))))</f>
        <v/>
      </c>
      <c r="U2" s="16" t="str">
        <f t="shared" ref="U2:U5" ca="1" si="1">IF(E2="Document", IF(G2="", "", TODAY() - G2), "")</f>
        <v/>
      </c>
      <c r="V2" s="16"/>
      <c r="W2" s="16"/>
      <c r="X2" s="17" t="s">
        <v>34</v>
      </c>
      <c r="Y2" s="10"/>
      <c r="Z2" s="10"/>
      <c r="AA2" s="18"/>
      <c r="AD2" s="6" t="s">
        <v>35</v>
      </c>
      <c r="AE2" s="19" t="s">
        <v>36</v>
      </c>
    </row>
    <row r="3" spans="1:31" ht="15.75" customHeight="1" x14ac:dyDescent="0.3">
      <c r="A3" s="6">
        <v>4709</v>
      </c>
      <c r="B3" s="20" t="s">
        <v>628</v>
      </c>
      <c r="C3" s="8">
        <v>1</v>
      </c>
      <c r="D3" s="9" t="s">
        <v>38</v>
      </c>
      <c r="E3" s="6" t="s">
        <v>33</v>
      </c>
      <c r="F3" s="10">
        <v>45838</v>
      </c>
      <c r="G3" s="10">
        <v>45844</v>
      </c>
      <c r="H3" s="11">
        <v>253</v>
      </c>
      <c r="I3" s="12">
        <v>253</v>
      </c>
      <c r="J3" s="13"/>
      <c r="K3" s="14">
        <v>45847</v>
      </c>
      <c r="L3" s="11"/>
      <c r="M3" s="11"/>
      <c r="N3" s="15"/>
      <c r="O3" s="15"/>
      <c r="P3" s="15"/>
      <c r="Q3" s="15"/>
      <c r="R3" s="15"/>
      <c r="S3" s="15"/>
      <c r="T3" s="16" t="str">
        <f t="shared" ca="1" si="0"/>
        <v/>
      </c>
      <c r="U3" s="16" t="str">
        <f t="shared" ca="1" si="1"/>
        <v/>
      </c>
      <c r="V3" s="6">
        <f t="shared" ref="V3:V5" si="2">2</f>
        <v>2</v>
      </c>
      <c r="W3" s="17" t="s">
        <v>39</v>
      </c>
      <c r="X3" s="17" t="s">
        <v>40</v>
      </c>
      <c r="Y3" s="10"/>
      <c r="Z3" s="10"/>
      <c r="AA3" s="18"/>
      <c r="AD3" s="6" t="s">
        <v>35</v>
      </c>
      <c r="AE3" s="19" t="s">
        <v>36</v>
      </c>
    </row>
    <row r="4" spans="1:31" ht="15.75" customHeight="1" x14ac:dyDescent="0.3">
      <c r="A4" s="21">
        <v>4751</v>
      </c>
      <c r="B4" s="7" t="s">
        <v>41</v>
      </c>
      <c r="C4" s="8">
        <v>1</v>
      </c>
      <c r="D4" s="9" t="s">
        <v>42</v>
      </c>
      <c r="E4" s="21" t="s">
        <v>33</v>
      </c>
      <c r="F4" s="10">
        <v>45866</v>
      </c>
      <c r="G4" s="10">
        <v>45885</v>
      </c>
      <c r="H4" s="22">
        <v>347</v>
      </c>
      <c r="I4" s="23">
        <v>347</v>
      </c>
      <c r="J4" s="24"/>
      <c r="K4" s="14">
        <v>45888</v>
      </c>
      <c r="L4" s="22"/>
      <c r="M4" s="22"/>
      <c r="N4" s="15"/>
      <c r="O4" s="15"/>
      <c r="P4" s="15"/>
      <c r="Q4" s="15"/>
      <c r="R4" s="15"/>
      <c r="S4" s="15"/>
      <c r="T4" s="25" t="str">
        <f t="shared" ca="1" si="0"/>
        <v/>
      </c>
      <c r="U4" s="25" t="str">
        <f t="shared" ca="1" si="1"/>
        <v/>
      </c>
      <c r="V4" s="21">
        <f t="shared" si="2"/>
        <v>2</v>
      </c>
      <c r="W4" s="26" t="s">
        <v>43</v>
      </c>
      <c r="X4" s="26" t="s">
        <v>44</v>
      </c>
      <c r="Y4" s="27"/>
      <c r="Z4" s="27"/>
      <c r="AA4" s="28"/>
      <c r="AD4" s="21" t="s">
        <v>35</v>
      </c>
      <c r="AE4" s="19" t="s">
        <v>36</v>
      </c>
    </row>
    <row r="5" spans="1:31" ht="15.75" customHeight="1" x14ac:dyDescent="0.3">
      <c r="A5" s="21">
        <v>4751</v>
      </c>
      <c r="B5" s="7" t="s">
        <v>41</v>
      </c>
      <c r="C5" s="8">
        <v>1</v>
      </c>
      <c r="D5" s="9" t="s">
        <v>42</v>
      </c>
      <c r="E5" s="21" t="s">
        <v>33</v>
      </c>
      <c r="F5" s="10">
        <v>45866</v>
      </c>
      <c r="G5" s="10">
        <v>45885</v>
      </c>
      <c r="H5" s="22">
        <v>347</v>
      </c>
      <c r="I5" s="23">
        <v>347</v>
      </c>
      <c r="J5" s="24"/>
      <c r="K5" s="14">
        <v>45888</v>
      </c>
      <c r="L5" s="22"/>
      <c r="M5" s="22"/>
      <c r="N5" s="15"/>
      <c r="O5" s="15"/>
      <c r="P5" s="15"/>
      <c r="Q5" s="15"/>
      <c r="R5" s="15"/>
      <c r="S5" s="15"/>
      <c r="T5" s="25" t="str">
        <f t="shared" ca="1" si="0"/>
        <v/>
      </c>
      <c r="U5" s="25" t="str">
        <f t="shared" ca="1" si="1"/>
        <v/>
      </c>
      <c r="V5" s="21">
        <f t="shared" si="2"/>
        <v>2</v>
      </c>
      <c r="W5" s="26" t="s">
        <v>43</v>
      </c>
      <c r="X5" s="26" t="s">
        <v>44</v>
      </c>
      <c r="Y5" s="27"/>
      <c r="Z5" s="27"/>
      <c r="AA5" s="28"/>
      <c r="AD5" s="21" t="s">
        <v>35</v>
      </c>
      <c r="AE5" s="19" t="s">
        <v>36</v>
      </c>
    </row>
    <row r="6" spans="1:31" ht="15.75" customHeight="1" x14ac:dyDescent="0.3">
      <c r="A6" s="21">
        <v>5022</v>
      </c>
      <c r="B6" s="26" t="s">
        <v>45</v>
      </c>
      <c r="C6" s="8">
        <v>17</v>
      </c>
      <c r="D6" s="9" t="s">
        <v>32</v>
      </c>
      <c r="E6" s="21" t="s">
        <v>46</v>
      </c>
      <c r="F6" s="27">
        <v>46048</v>
      </c>
      <c r="G6" s="27">
        <v>46054</v>
      </c>
      <c r="H6" s="29"/>
      <c r="I6" s="30"/>
      <c r="J6" s="21"/>
      <c r="K6" s="31"/>
      <c r="L6" s="29"/>
      <c r="M6" s="29"/>
      <c r="N6" s="32"/>
      <c r="O6" s="33"/>
      <c r="P6" s="33"/>
      <c r="Q6" s="34"/>
      <c r="R6" s="34" t="str">
        <f>IF(Q6,Q6-K6,"")</f>
        <v/>
      </c>
      <c r="S6" s="34" t="str">
        <f>IF(R6="","",IF(R6&lt;=4,"Excellent",IF(R6&lt;=8,"Good",IF(R6&lt;=15,"Average",IF(R6&lt;=30,"Poor",IF(R6&gt;=30,"Bad"))))))</f>
        <v/>
      </c>
      <c r="T6" s="29" t="str">
        <f ca="1">IF(U6="","",IF(U6&lt;=3,"Excellent",IF(U6&lt;=7,"Good",IF(U6&lt;=14,"Average",IF(U6&lt;=30,"Poor",IF(U6&gt;=30,"Bad"))))))</f>
        <v>Bad</v>
      </c>
      <c r="U6" s="21">
        <f t="shared" ref="U6:U10" ca="1" si="3">IF(E6="Document", IF(G6="", "", TODAY() - G6), "")</f>
        <v>81</v>
      </c>
      <c r="V6" s="29">
        <f>40</f>
        <v>40</v>
      </c>
      <c r="W6" s="16"/>
      <c r="X6" s="16"/>
      <c r="Y6" s="21"/>
      <c r="Z6" s="21"/>
      <c r="AD6" s="21" t="s">
        <v>35</v>
      </c>
      <c r="AE6" s="19" t="s">
        <v>36</v>
      </c>
    </row>
    <row r="7" spans="1:31" ht="15.75" customHeight="1" x14ac:dyDescent="0.3">
      <c r="A7" s="6">
        <v>4531</v>
      </c>
      <c r="B7" s="7" t="s">
        <v>47</v>
      </c>
      <c r="C7" s="8">
        <v>17</v>
      </c>
      <c r="D7" s="9" t="s">
        <v>32</v>
      </c>
      <c r="E7" s="6" t="s">
        <v>33</v>
      </c>
      <c r="F7" s="10">
        <v>45691</v>
      </c>
      <c r="G7" s="10">
        <v>45695</v>
      </c>
      <c r="H7" s="11">
        <v>175</v>
      </c>
      <c r="I7" s="12">
        <v>200</v>
      </c>
      <c r="J7" s="13"/>
      <c r="K7" s="36">
        <v>45713</v>
      </c>
      <c r="L7" s="11"/>
      <c r="M7" s="11"/>
      <c r="N7" s="15"/>
      <c r="O7" s="15"/>
      <c r="P7" s="15"/>
      <c r="Q7" s="15"/>
      <c r="R7" s="15"/>
      <c r="S7" s="15"/>
      <c r="T7" s="16" t="str">
        <f t="shared" ref="T7:T10" ca="1" si="4">IF($U7="","",IF($U7&lt;=3,"Excellent",IF($U7&lt;=7,"Good",IF($U7&lt;=14,"Average",IF($U7&lt;=30,"Poor",IF($U7&gt;=30,"Bad"))))))</f>
        <v/>
      </c>
      <c r="U7" s="16" t="str">
        <f t="shared" ca="1" si="3"/>
        <v/>
      </c>
      <c r="V7" s="16"/>
      <c r="W7" s="16"/>
      <c r="X7" s="17" t="s">
        <v>34</v>
      </c>
      <c r="Y7" s="10"/>
      <c r="Z7" s="10"/>
      <c r="AA7" s="18"/>
      <c r="AD7" s="6" t="s">
        <v>35</v>
      </c>
      <c r="AE7" s="19" t="s">
        <v>36</v>
      </c>
    </row>
    <row r="8" spans="1:31" ht="15.75" customHeight="1" x14ac:dyDescent="0.3">
      <c r="A8" s="21">
        <v>4963</v>
      </c>
      <c r="B8" s="37" t="s">
        <v>48</v>
      </c>
      <c r="C8" s="8">
        <v>17</v>
      </c>
      <c r="D8" s="9" t="s">
        <v>32</v>
      </c>
      <c r="E8" s="21" t="s">
        <v>46</v>
      </c>
      <c r="F8" s="38">
        <v>46013</v>
      </c>
      <c r="G8" s="38">
        <v>46015</v>
      </c>
      <c r="H8" s="25"/>
      <c r="I8" s="39"/>
      <c r="J8" s="40"/>
      <c r="K8" s="41"/>
      <c r="L8" s="25"/>
      <c r="M8" s="25"/>
      <c r="N8" s="15"/>
      <c r="O8" s="15"/>
      <c r="P8" s="15"/>
      <c r="Q8" s="15"/>
      <c r="R8" s="15"/>
      <c r="S8" s="15"/>
      <c r="T8" s="22" t="str">
        <f t="shared" ca="1" si="4"/>
        <v>Bad</v>
      </c>
      <c r="U8" s="21">
        <f t="shared" ca="1" si="3"/>
        <v>120</v>
      </c>
      <c r="V8" s="25"/>
      <c r="W8" s="25"/>
      <c r="X8" s="25"/>
      <c r="Y8" s="27"/>
      <c r="Z8" s="27"/>
      <c r="AA8" s="28"/>
      <c r="AD8" s="21" t="s">
        <v>35</v>
      </c>
      <c r="AE8" s="19" t="s">
        <v>36</v>
      </c>
    </row>
    <row r="9" spans="1:31" ht="15.75" customHeight="1" x14ac:dyDescent="0.3">
      <c r="A9" s="21">
        <v>4914</v>
      </c>
      <c r="B9" s="37" t="s">
        <v>49</v>
      </c>
      <c r="C9" s="8">
        <v>18</v>
      </c>
      <c r="D9" s="9" t="s">
        <v>32</v>
      </c>
      <c r="E9" s="21" t="s">
        <v>33</v>
      </c>
      <c r="F9" s="42">
        <v>45980</v>
      </c>
      <c r="G9" s="42">
        <v>45982</v>
      </c>
      <c r="H9" s="22">
        <v>125</v>
      </c>
      <c r="I9" s="23">
        <v>125</v>
      </c>
      <c r="J9" s="24"/>
      <c r="K9" s="14">
        <v>45992</v>
      </c>
      <c r="L9" s="22"/>
      <c r="M9" s="22"/>
      <c r="N9" s="15"/>
      <c r="O9" s="15"/>
      <c r="P9" s="15"/>
      <c r="Q9" s="15"/>
      <c r="R9" s="15"/>
      <c r="S9" s="15"/>
      <c r="T9" s="25" t="str">
        <f t="shared" ca="1" si="4"/>
        <v/>
      </c>
      <c r="U9" s="25" t="str">
        <f t="shared" ca="1" si="3"/>
        <v/>
      </c>
      <c r="V9" s="25"/>
      <c r="W9" s="26" t="s">
        <v>50</v>
      </c>
      <c r="X9" s="26" t="s">
        <v>51</v>
      </c>
      <c r="Y9" s="27"/>
      <c r="Z9" s="27"/>
      <c r="AA9" s="28"/>
      <c r="AD9" s="21" t="s">
        <v>35</v>
      </c>
      <c r="AE9" s="19" t="s">
        <v>36</v>
      </c>
    </row>
    <row r="10" spans="1:31" ht="15.75" customHeight="1" x14ac:dyDescent="0.3">
      <c r="A10" s="21">
        <v>4914</v>
      </c>
      <c r="B10" s="37" t="s">
        <v>49</v>
      </c>
      <c r="C10" s="8">
        <v>18</v>
      </c>
      <c r="D10" s="9" t="s">
        <v>32</v>
      </c>
      <c r="E10" s="21" t="s">
        <v>33</v>
      </c>
      <c r="F10" s="42">
        <v>45985</v>
      </c>
      <c r="G10" s="42">
        <v>45989</v>
      </c>
      <c r="H10" s="22">
        <v>125</v>
      </c>
      <c r="I10" s="23">
        <v>125</v>
      </c>
      <c r="J10" s="24"/>
      <c r="K10" s="14">
        <v>45992</v>
      </c>
      <c r="L10" s="22"/>
      <c r="M10" s="22"/>
      <c r="N10" s="15"/>
      <c r="O10" s="15"/>
      <c r="P10" s="15"/>
      <c r="Q10" s="15"/>
      <c r="R10" s="15"/>
      <c r="S10" s="15"/>
      <c r="T10" s="25" t="str">
        <f t="shared" ca="1" si="4"/>
        <v/>
      </c>
      <c r="U10" s="25" t="str">
        <f t="shared" ca="1" si="3"/>
        <v/>
      </c>
      <c r="V10" s="25"/>
      <c r="W10" s="26" t="s">
        <v>50</v>
      </c>
      <c r="X10" s="26" t="s">
        <v>51</v>
      </c>
      <c r="Y10" s="27"/>
      <c r="Z10" s="27"/>
      <c r="AA10" s="28"/>
      <c r="AD10" s="21" t="s">
        <v>35</v>
      </c>
      <c r="AE10" s="19" t="s">
        <v>36</v>
      </c>
    </row>
    <row r="11" spans="1:31" ht="15.75" customHeight="1" x14ac:dyDescent="0.3">
      <c r="A11" s="8">
        <v>5009</v>
      </c>
      <c r="B11" s="43" t="s">
        <v>52</v>
      </c>
      <c r="C11" s="8">
        <v>25</v>
      </c>
      <c r="D11" s="44" t="s">
        <v>32</v>
      </c>
      <c r="E11" s="8" t="s">
        <v>33</v>
      </c>
      <c r="F11" s="45">
        <v>46041</v>
      </c>
      <c r="G11" s="45">
        <v>46044</v>
      </c>
      <c r="H11" s="46">
        <v>183</v>
      </c>
      <c r="I11" s="47">
        <v>213</v>
      </c>
      <c r="J11" s="8"/>
      <c r="K11" s="48">
        <v>46045</v>
      </c>
      <c r="L11" s="22"/>
      <c r="M11" s="46"/>
      <c r="N11" s="49">
        <v>46080</v>
      </c>
      <c r="O11" s="50"/>
      <c r="P11" s="50"/>
      <c r="Q11" s="51"/>
      <c r="R11" s="51" t="str">
        <f>IF(Q11,Q11-K11,"")</f>
        <v/>
      </c>
      <c r="S11" s="51" t="str">
        <f>IF(R11="","",IF(R11&lt;=4,"Excellent",IF(R11&lt;=8,"Good",IF(R11&lt;=15,"Average",IF(R11&lt;=30,"Poor",IF(R11&gt;=30,"Bad"))))))</f>
        <v/>
      </c>
      <c r="T11" s="46" t="str">
        <f ca="1">IF(U11="","",IF(U11&lt;=3,"Excellent",IF(U11&lt;=7,"Good",IF(U11&lt;=14,"Average",IF(U11&lt;=30,"Poor",IF(U11&gt;=30,"Bad"))))))</f>
        <v/>
      </c>
      <c r="U11" s="6" t="str">
        <f ca="1">IF(E11="Document", IF(#REF!="", "", TODAY() -#REF!), "")</f>
        <v/>
      </c>
      <c r="V11" s="6"/>
      <c r="W11" s="17" t="s">
        <v>53</v>
      </c>
      <c r="X11" s="17" t="s">
        <v>54</v>
      </c>
      <c r="Y11" s="8"/>
      <c r="Z11" s="8"/>
      <c r="AD11" s="8" t="s">
        <v>35</v>
      </c>
      <c r="AE11" s="19" t="s">
        <v>36</v>
      </c>
    </row>
    <row r="12" spans="1:31" ht="15.75" customHeight="1" x14ac:dyDescent="0.3">
      <c r="A12" s="6">
        <v>4695</v>
      </c>
      <c r="B12" s="7" t="s">
        <v>37</v>
      </c>
      <c r="C12" s="8">
        <v>26</v>
      </c>
      <c r="D12" s="9" t="s">
        <v>38</v>
      </c>
      <c r="E12" s="6" t="s">
        <v>33</v>
      </c>
      <c r="F12" s="10">
        <v>45824</v>
      </c>
      <c r="G12" s="10">
        <v>45826</v>
      </c>
      <c r="H12" s="11">
        <v>20</v>
      </c>
      <c r="I12" s="12">
        <v>40</v>
      </c>
      <c r="J12" s="13"/>
      <c r="K12" s="14">
        <v>45832</v>
      </c>
      <c r="L12" s="11"/>
      <c r="M12" s="11"/>
      <c r="N12" s="15"/>
      <c r="O12" s="15"/>
      <c r="P12" s="15"/>
      <c r="Q12" s="15"/>
      <c r="R12" s="15"/>
      <c r="S12" s="15"/>
      <c r="T12" s="16" t="str">
        <f t="shared" ref="T12:T15" ca="1" si="5">IF($U12="","",IF($U12&lt;=3,"Excellent",IF($U12&lt;=7,"Good",IF($U12&lt;=14,"Average",IF($U12&lt;=30,"Poor",IF($U12&gt;=30,"Bad"))))))</f>
        <v/>
      </c>
      <c r="U12" s="16" t="str">
        <f t="shared" ref="U12:U15" ca="1" si="6">IF(E12="Document", IF(G12="", "", TODAY() - G12), "")</f>
        <v/>
      </c>
      <c r="V12" s="16"/>
      <c r="W12" s="16"/>
      <c r="X12" s="17" t="s">
        <v>34</v>
      </c>
      <c r="Y12" s="10"/>
      <c r="Z12" s="10"/>
      <c r="AA12" s="18"/>
      <c r="AD12" s="6" t="s">
        <v>55</v>
      </c>
      <c r="AE12" s="19" t="s">
        <v>36</v>
      </c>
    </row>
    <row r="13" spans="1:31" ht="15.75" customHeight="1" x14ac:dyDescent="0.3">
      <c r="A13" s="21">
        <v>4795</v>
      </c>
      <c r="B13" s="7" t="s">
        <v>56</v>
      </c>
      <c r="C13" s="8">
        <v>26</v>
      </c>
      <c r="D13" s="9" t="s">
        <v>57</v>
      </c>
      <c r="E13" s="21" t="s">
        <v>33</v>
      </c>
      <c r="F13" s="10">
        <v>45869</v>
      </c>
      <c r="G13" s="10">
        <v>45869</v>
      </c>
      <c r="H13" s="22">
        <v>25</v>
      </c>
      <c r="I13" s="23">
        <v>25</v>
      </c>
      <c r="J13" s="24"/>
      <c r="K13" s="14">
        <v>45887</v>
      </c>
      <c r="L13" s="22"/>
      <c r="M13" s="22"/>
      <c r="N13" s="15"/>
      <c r="O13" s="15"/>
      <c r="P13" s="15"/>
      <c r="Q13" s="15"/>
      <c r="R13" s="15"/>
      <c r="S13" s="15"/>
      <c r="T13" s="25" t="str">
        <f t="shared" ca="1" si="5"/>
        <v/>
      </c>
      <c r="U13" s="25" t="str">
        <f t="shared" ca="1" si="6"/>
        <v/>
      </c>
      <c r="V13" s="25"/>
      <c r="W13" s="26" t="s">
        <v>58</v>
      </c>
      <c r="X13" s="26" t="s">
        <v>59</v>
      </c>
      <c r="Y13" s="27"/>
      <c r="Z13" s="27"/>
      <c r="AA13" s="28"/>
      <c r="AD13" s="21" t="s">
        <v>35</v>
      </c>
      <c r="AE13" s="19" t="s">
        <v>36</v>
      </c>
    </row>
    <row r="14" spans="1:31" ht="15.75" customHeight="1" x14ac:dyDescent="0.3">
      <c r="A14" s="21">
        <v>4899</v>
      </c>
      <c r="B14" s="37" t="s">
        <v>41</v>
      </c>
      <c r="C14" s="8">
        <v>26</v>
      </c>
      <c r="D14" s="9" t="s">
        <v>42</v>
      </c>
      <c r="E14" s="21" t="s">
        <v>33</v>
      </c>
      <c r="F14" s="42">
        <v>45984</v>
      </c>
      <c r="G14" s="42">
        <v>45984</v>
      </c>
      <c r="H14" s="22">
        <v>302</v>
      </c>
      <c r="I14" s="23">
        <v>327</v>
      </c>
      <c r="J14" s="24"/>
      <c r="K14" s="14">
        <v>45993</v>
      </c>
      <c r="L14" s="22"/>
      <c r="M14" s="22"/>
      <c r="N14" s="15"/>
      <c r="O14" s="15"/>
      <c r="P14" s="15"/>
      <c r="Q14" s="15"/>
      <c r="R14" s="15"/>
      <c r="S14" s="15"/>
      <c r="T14" s="25" t="str">
        <f t="shared" ca="1" si="5"/>
        <v/>
      </c>
      <c r="U14" s="25" t="str">
        <f t="shared" ca="1" si="6"/>
        <v/>
      </c>
      <c r="V14" s="25"/>
      <c r="W14" s="26" t="s">
        <v>60</v>
      </c>
      <c r="X14" s="26" t="s">
        <v>61</v>
      </c>
      <c r="Y14" s="27"/>
      <c r="Z14" s="27"/>
      <c r="AA14" s="28"/>
      <c r="AD14" s="21" t="s">
        <v>35</v>
      </c>
      <c r="AE14" s="19" t="s">
        <v>36</v>
      </c>
    </row>
    <row r="15" spans="1:31" ht="15.75" customHeight="1" x14ac:dyDescent="0.3">
      <c r="A15" s="21">
        <v>4899</v>
      </c>
      <c r="B15" s="37" t="s">
        <v>41</v>
      </c>
      <c r="C15" s="8">
        <v>26</v>
      </c>
      <c r="D15" s="9" t="s">
        <v>42</v>
      </c>
      <c r="E15" s="21" t="s">
        <v>33</v>
      </c>
      <c r="F15" s="42">
        <v>45984</v>
      </c>
      <c r="G15" s="42">
        <v>45987</v>
      </c>
      <c r="H15" s="22">
        <v>302</v>
      </c>
      <c r="I15" s="23">
        <v>327</v>
      </c>
      <c r="J15" s="24"/>
      <c r="K15" s="14">
        <v>45993</v>
      </c>
      <c r="L15" s="22"/>
      <c r="M15" s="22"/>
      <c r="N15" s="15"/>
      <c r="O15" s="15"/>
      <c r="P15" s="15"/>
      <c r="Q15" s="15"/>
      <c r="R15" s="15"/>
      <c r="S15" s="15"/>
      <c r="T15" s="25" t="str">
        <f t="shared" ca="1" si="5"/>
        <v/>
      </c>
      <c r="U15" s="25" t="str">
        <f t="shared" ca="1" si="6"/>
        <v/>
      </c>
      <c r="V15" s="25"/>
      <c r="W15" s="26" t="s">
        <v>60</v>
      </c>
      <c r="X15" s="26" t="s">
        <v>61</v>
      </c>
      <c r="Y15" s="27"/>
      <c r="Z15" s="27"/>
      <c r="AA15" s="28"/>
      <c r="AD15" s="21" t="s">
        <v>35</v>
      </c>
      <c r="AE15" s="19" t="s">
        <v>36</v>
      </c>
    </row>
    <row r="16" spans="1:31" ht="15.75" customHeight="1" x14ac:dyDescent="0.3">
      <c r="A16" s="21">
        <v>5128</v>
      </c>
      <c r="B16" s="26" t="s">
        <v>41</v>
      </c>
      <c r="C16" s="8">
        <v>29</v>
      </c>
      <c r="D16" s="9" t="s">
        <v>42</v>
      </c>
      <c r="E16" s="21" t="s">
        <v>62</v>
      </c>
      <c r="F16" s="27">
        <v>46132</v>
      </c>
      <c r="G16" s="52">
        <v>46145</v>
      </c>
      <c r="H16" s="29"/>
      <c r="I16" s="30"/>
      <c r="J16" s="21"/>
      <c r="K16" s="48"/>
      <c r="L16" s="29"/>
      <c r="M16" s="29"/>
      <c r="N16" s="32"/>
      <c r="O16" s="33"/>
      <c r="P16" s="33"/>
      <c r="Q16" s="34"/>
      <c r="R16" s="34" t="str">
        <f t="shared" ref="R16:R17" si="7">IF(Q16,Q16-K16,"")</f>
        <v/>
      </c>
      <c r="S16" s="34" t="str">
        <f t="shared" ref="S16:S17" si="8">IF(R16="","",IF(R16&lt;=4,"Excellent",IF(R16&lt;=8,"Good",IF(R16&lt;=15,"Average",IF(R16&lt;=30,"Poor",IF(R16&gt;=30,"Bad"))))))</f>
        <v/>
      </c>
      <c r="T16" s="46"/>
      <c r="U16" s="6"/>
      <c r="V16" s="6"/>
      <c r="W16" s="17"/>
      <c r="X16" s="17"/>
      <c r="Y16" s="21"/>
      <c r="Z16" s="21"/>
      <c r="AD16" s="21" t="s">
        <v>35</v>
      </c>
      <c r="AE16" s="19" t="s">
        <v>36</v>
      </c>
    </row>
    <row r="17" spans="1:31" ht="15.75" customHeight="1" x14ac:dyDescent="0.3">
      <c r="A17" s="21">
        <v>5128</v>
      </c>
      <c r="B17" s="26" t="s">
        <v>41</v>
      </c>
      <c r="C17" s="8">
        <v>29</v>
      </c>
      <c r="D17" s="9" t="s">
        <v>42</v>
      </c>
      <c r="E17" s="21" t="s">
        <v>62</v>
      </c>
      <c r="F17" s="27">
        <v>46132</v>
      </c>
      <c r="G17" s="52">
        <v>46145</v>
      </c>
      <c r="H17" s="29"/>
      <c r="I17" s="30"/>
      <c r="J17" s="21"/>
      <c r="K17" s="48"/>
      <c r="L17" s="29"/>
      <c r="M17" s="29"/>
      <c r="N17" s="32"/>
      <c r="O17" s="33"/>
      <c r="P17" s="33"/>
      <c r="Q17" s="34"/>
      <c r="R17" s="34" t="str">
        <f t="shared" si="7"/>
        <v/>
      </c>
      <c r="S17" s="34" t="str">
        <f t="shared" si="8"/>
        <v/>
      </c>
      <c r="T17" s="46"/>
      <c r="U17" s="6"/>
      <c r="V17" s="6"/>
      <c r="W17" s="17"/>
      <c r="X17" s="17"/>
      <c r="Y17" s="21"/>
      <c r="Z17" s="21"/>
      <c r="AD17" s="21" t="s">
        <v>35</v>
      </c>
      <c r="AE17" s="19" t="s">
        <v>36</v>
      </c>
    </row>
    <row r="18" spans="1:31" ht="15.75" customHeight="1" x14ac:dyDescent="0.3">
      <c r="A18" s="21">
        <v>4912</v>
      </c>
      <c r="B18" s="37" t="s">
        <v>47</v>
      </c>
      <c r="C18" s="8">
        <v>29</v>
      </c>
      <c r="D18" s="9" t="s">
        <v>38</v>
      </c>
      <c r="E18" s="21" t="s">
        <v>33</v>
      </c>
      <c r="F18" s="42">
        <v>45985</v>
      </c>
      <c r="G18" s="42">
        <v>45988</v>
      </c>
      <c r="H18" s="22">
        <v>65</v>
      </c>
      <c r="I18" s="23">
        <v>125</v>
      </c>
      <c r="J18" s="24"/>
      <c r="K18" s="14">
        <v>45988</v>
      </c>
      <c r="L18" s="22"/>
      <c r="M18" s="22"/>
      <c r="N18" s="15"/>
      <c r="O18" s="15"/>
      <c r="P18" s="15"/>
      <c r="Q18" s="15"/>
      <c r="R18" s="15"/>
      <c r="S18" s="15"/>
      <c r="T18" s="25" t="str">
        <f t="shared" ref="T18:T20" ca="1" si="9">IF($U18="","",IF($U18&lt;=3,"Excellent",IF($U18&lt;=7,"Good",IF($U18&lt;=14,"Average",IF($U18&lt;=30,"Poor",IF($U18&gt;=30,"Bad"))))))</f>
        <v/>
      </c>
      <c r="U18" s="25" t="str">
        <f t="shared" ref="U18:U20" ca="1" si="10">IF(E18="Document", IF(G18="", "", TODAY() - G18), "")</f>
        <v/>
      </c>
      <c r="V18" s="25"/>
      <c r="W18" s="26" t="s">
        <v>63</v>
      </c>
      <c r="X18" s="26" t="s">
        <v>64</v>
      </c>
      <c r="Y18" s="27"/>
      <c r="Z18" s="27"/>
      <c r="AA18" s="28"/>
      <c r="AD18" s="21" t="s">
        <v>35</v>
      </c>
      <c r="AE18" s="19" t="s">
        <v>36</v>
      </c>
    </row>
    <row r="19" spans="1:31" ht="15.75" customHeight="1" x14ac:dyDescent="0.3">
      <c r="A19" s="6">
        <v>4534</v>
      </c>
      <c r="B19" s="7" t="s">
        <v>65</v>
      </c>
      <c r="C19" s="8">
        <v>32</v>
      </c>
      <c r="D19" s="9" t="s">
        <v>32</v>
      </c>
      <c r="E19" s="6" t="s">
        <v>33</v>
      </c>
      <c r="F19" s="10">
        <v>45681</v>
      </c>
      <c r="G19" s="10">
        <v>45688</v>
      </c>
      <c r="H19" s="11">
        <v>25</v>
      </c>
      <c r="I19" s="12">
        <v>25</v>
      </c>
      <c r="J19" s="13"/>
      <c r="K19" s="14">
        <v>45692</v>
      </c>
      <c r="L19" s="11"/>
      <c r="M19" s="11"/>
      <c r="N19" s="15"/>
      <c r="O19" s="15"/>
      <c r="P19" s="15"/>
      <c r="Q19" s="15"/>
      <c r="R19" s="15"/>
      <c r="S19" s="15"/>
      <c r="T19" s="16" t="str">
        <f t="shared" ca="1" si="9"/>
        <v/>
      </c>
      <c r="U19" s="16" t="str">
        <f t="shared" ca="1" si="10"/>
        <v/>
      </c>
      <c r="V19" s="6">
        <f>13</f>
        <v>13</v>
      </c>
      <c r="W19" s="17" t="s">
        <v>66</v>
      </c>
      <c r="X19" s="17" t="s">
        <v>67</v>
      </c>
      <c r="Y19" s="10"/>
      <c r="Z19" s="10"/>
      <c r="AA19" s="18"/>
      <c r="AD19" s="6" t="s">
        <v>35</v>
      </c>
      <c r="AE19" s="19" t="s">
        <v>36</v>
      </c>
    </row>
    <row r="20" spans="1:31" ht="15.75" customHeight="1" x14ac:dyDescent="0.3">
      <c r="A20" s="6">
        <v>4617</v>
      </c>
      <c r="B20" s="7" t="s">
        <v>68</v>
      </c>
      <c r="C20" s="8">
        <v>32</v>
      </c>
      <c r="D20" s="9" t="s">
        <v>69</v>
      </c>
      <c r="E20" s="6" t="s">
        <v>33</v>
      </c>
      <c r="F20" s="10">
        <v>45741</v>
      </c>
      <c r="G20" s="10">
        <v>45741</v>
      </c>
      <c r="H20" s="11">
        <v>50</v>
      </c>
      <c r="I20" s="12">
        <v>50</v>
      </c>
      <c r="J20" s="13"/>
      <c r="K20" s="36">
        <v>45741</v>
      </c>
      <c r="L20" s="11"/>
      <c r="M20" s="11"/>
      <c r="N20" s="15"/>
      <c r="O20" s="15"/>
      <c r="P20" s="15"/>
      <c r="Q20" s="15"/>
      <c r="R20" s="15"/>
      <c r="S20" s="15"/>
      <c r="T20" s="16" t="str">
        <f t="shared" ca="1" si="9"/>
        <v/>
      </c>
      <c r="U20" s="16" t="str">
        <f t="shared" ca="1" si="10"/>
        <v/>
      </c>
      <c r="V20" s="16"/>
      <c r="W20" s="16"/>
      <c r="X20" s="17" t="s">
        <v>34</v>
      </c>
      <c r="Y20" s="10"/>
      <c r="Z20" s="10"/>
      <c r="AA20" s="18"/>
      <c r="AD20" s="6" t="s">
        <v>35</v>
      </c>
      <c r="AE20" s="19" t="s">
        <v>36</v>
      </c>
    </row>
    <row r="21" spans="1:31" ht="15.75" customHeight="1" x14ac:dyDescent="0.3">
      <c r="A21" s="21">
        <v>4923</v>
      </c>
      <c r="B21" s="26" t="s">
        <v>41</v>
      </c>
      <c r="C21" s="8">
        <v>35</v>
      </c>
      <c r="D21" s="9" t="s">
        <v>42</v>
      </c>
      <c r="E21" s="6" t="s">
        <v>33</v>
      </c>
      <c r="F21" s="27">
        <v>46055</v>
      </c>
      <c r="G21" s="27">
        <v>46075</v>
      </c>
      <c r="H21" s="29">
        <v>226</v>
      </c>
      <c r="I21" s="30">
        <v>326</v>
      </c>
      <c r="J21" s="21"/>
      <c r="K21" s="31">
        <v>46076</v>
      </c>
      <c r="L21" s="29"/>
      <c r="M21" s="29"/>
      <c r="N21" s="32"/>
      <c r="O21" s="33"/>
      <c r="P21" s="33"/>
      <c r="Q21" s="34"/>
      <c r="R21" s="34" t="str">
        <f t="shared" ref="R21:R22" si="11">IF(Q21,Q21-K21,"")</f>
        <v/>
      </c>
      <c r="S21" s="34" t="str">
        <f t="shared" ref="S21:S22" si="12">IF(R21="","",IF(R21&lt;=4,"Excellent",IF(R21&lt;=8,"Good",IF(R21&lt;=15,"Average",IF(R21&lt;=30,"Poor",IF(R21&gt;=30,"Bad"))))))</f>
        <v/>
      </c>
      <c r="T21" s="29" t="str">
        <f t="shared" ref="T21:T22" ca="1" si="13">IF(U21="","",IF(U21&lt;=3,"Excellent",IF(U21&lt;=7,"Good",IF(U21&lt;=14,"Average",IF(U21&lt;=30,"Poor",IF(U21&gt;=30,"Bad"))))))</f>
        <v/>
      </c>
      <c r="U21" s="29" t="str">
        <f ca="1">IF(E21="Document", IF(#REF!="", "", TODAY() -#REF!), "")</f>
        <v/>
      </c>
      <c r="V21" s="29"/>
      <c r="W21" s="16" t="s">
        <v>70</v>
      </c>
      <c r="X21" s="16" t="s">
        <v>71</v>
      </c>
      <c r="Y21" s="21"/>
      <c r="Z21" s="21"/>
      <c r="AD21" s="21" t="s">
        <v>35</v>
      </c>
      <c r="AE21" s="19" t="s">
        <v>36</v>
      </c>
    </row>
    <row r="22" spans="1:31" ht="15.75" customHeight="1" x14ac:dyDescent="0.3">
      <c r="A22" s="21">
        <v>4923</v>
      </c>
      <c r="B22" s="26" t="s">
        <v>41</v>
      </c>
      <c r="C22" s="8">
        <v>35</v>
      </c>
      <c r="D22" s="9" t="s">
        <v>42</v>
      </c>
      <c r="E22" s="6" t="s">
        <v>33</v>
      </c>
      <c r="F22" s="27">
        <v>46055</v>
      </c>
      <c r="G22" s="27">
        <v>46075</v>
      </c>
      <c r="H22" s="29">
        <v>226</v>
      </c>
      <c r="I22" s="30">
        <v>326</v>
      </c>
      <c r="J22" s="21"/>
      <c r="K22" s="31">
        <v>46076</v>
      </c>
      <c r="L22" s="29"/>
      <c r="M22" s="29"/>
      <c r="N22" s="32">
        <v>46076</v>
      </c>
      <c r="O22" s="33"/>
      <c r="P22" s="33"/>
      <c r="Q22" s="34"/>
      <c r="R22" s="34" t="str">
        <f t="shared" si="11"/>
        <v/>
      </c>
      <c r="S22" s="34" t="str">
        <f t="shared" si="12"/>
        <v/>
      </c>
      <c r="T22" s="29" t="str">
        <f t="shared" ca="1" si="13"/>
        <v/>
      </c>
      <c r="U22" s="29" t="str">
        <f ca="1">IF(E22="Document", IF(#REF!="", "", TODAY() -#REF!), "")</f>
        <v/>
      </c>
      <c r="V22" s="29"/>
      <c r="W22" s="16" t="s">
        <v>70</v>
      </c>
      <c r="X22" s="16" t="s">
        <v>72</v>
      </c>
      <c r="Y22" s="21"/>
      <c r="Z22" s="21"/>
      <c r="AD22" s="21" t="s">
        <v>35</v>
      </c>
      <c r="AE22" s="19" t="s">
        <v>36</v>
      </c>
    </row>
    <row r="23" spans="1:31" ht="15.75" customHeight="1" x14ac:dyDescent="0.3">
      <c r="A23" s="6">
        <v>4563</v>
      </c>
      <c r="B23" s="7" t="s">
        <v>73</v>
      </c>
      <c r="C23" s="8">
        <v>35</v>
      </c>
      <c r="D23" s="9" t="s">
        <v>32</v>
      </c>
      <c r="E23" s="6" t="s">
        <v>33</v>
      </c>
      <c r="F23" s="10">
        <v>45726</v>
      </c>
      <c r="G23" s="10">
        <v>45739</v>
      </c>
      <c r="H23" s="11">
        <v>353</v>
      </c>
      <c r="I23" s="12">
        <v>353</v>
      </c>
      <c r="J23" s="13"/>
      <c r="K23" s="36">
        <v>45741</v>
      </c>
      <c r="L23" s="11"/>
      <c r="M23" s="11"/>
      <c r="N23" s="15"/>
      <c r="O23" s="15"/>
      <c r="P23" s="15"/>
      <c r="Q23" s="15"/>
      <c r="R23" s="15"/>
      <c r="S23" s="15"/>
      <c r="T23" s="16" t="str">
        <f t="shared" ref="T23:T36" ca="1" si="14">IF($U23="","",IF($U23&lt;=3,"Excellent",IF($U23&lt;=7,"Good",IF($U23&lt;=14,"Average",IF($U23&lt;=30,"Poor",IF($U23&gt;=30,"Bad"))))))</f>
        <v/>
      </c>
      <c r="U23" s="16" t="str">
        <f t="shared" ref="U23:U36" ca="1" si="15">IF(E23="Document", IF(G23="", "", TODAY() - G23), "")</f>
        <v/>
      </c>
      <c r="V23" s="16"/>
      <c r="W23" s="16"/>
      <c r="X23" s="17" t="s">
        <v>34</v>
      </c>
      <c r="Y23" s="10"/>
      <c r="Z23" s="10"/>
      <c r="AA23" s="18"/>
      <c r="AD23" s="6" t="s">
        <v>35</v>
      </c>
      <c r="AE23" s="19" t="s">
        <v>36</v>
      </c>
    </row>
    <row r="24" spans="1:31" ht="15.75" customHeight="1" x14ac:dyDescent="0.3">
      <c r="A24" s="6">
        <v>4645</v>
      </c>
      <c r="B24" s="7" t="s">
        <v>74</v>
      </c>
      <c r="C24" s="8">
        <v>35</v>
      </c>
      <c r="D24" s="9" t="s">
        <v>57</v>
      </c>
      <c r="E24" s="6" t="s">
        <v>33</v>
      </c>
      <c r="F24" s="10">
        <v>45777</v>
      </c>
      <c r="G24" s="10">
        <v>45777</v>
      </c>
      <c r="H24" s="11">
        <v>20</v>
      </c>
      <c r="I24" s="12">
        <v>20</v>
      </c>
      <c r="J24" s="13"/>
      <c r="K24" s="36">
        <v>45777</v>
      </c>
      <c r="L24" s="11"/>
      <c r="M24" s="11"/>
      <c r="N24" s="15"/>
      <c r="O24" s="15"/>
      <c r="P24" s="15"/>
      <c r="Q24" s="15"/>
      <c r="R24" s="15"/>
      <c r="S24" s="15"/>
      <c r="T24" s="16" t="str">
        <f t="shared" ca="1" si="14"/>
        <v/>
      </c>
      <c r="U24" s="16" t="str">
        <f t="shared" ca="1" si="15"/>
        <v/>
      </c>
      <c r="V24" s="16"/>
      <c r="W24" s="16"/>
      <c r="X24" s="17" t="s">
        <v>34</v>
      </c>
      <c r="Y24" s="10"/>
      <c r="Z24" s="10"/>
      <c r="AA24" s="18"/>
      <c r="AD24" s="6" t="s">
        <v>35</v>
      </c>
      <c r="AE24" s="19" t="s">
        <v>36</v>
      </c>
    </row>
    <row r="25" spans="1:31" ht="15.75" customHeight="1" x14ac:dyDescent="0.3">
      <c r="A25" s="21">
        <v>4969</v>
      </c>
      <c r="B25" s="37" t="s">
        <v>75</v>
      </c>
      <c r="C25" s="8">
        <v>36</v>
      </c>
      <c r="D25" s="9" t="s">
        <v>76</v>
      </c>
      <c r="E25" s="21" t="s">
        <v>77</v>
      </c>
      <c r="F25" s="38">
        <v>45971</v>
      </c>
      <c r="G25" s="38">
        <v>45971</v>
      </c>
      <c r="H25" s="25"/>
      <c r="I25" s="39"/>
      <c r="J25" s="40"/>
      <c r="K25" s="14">
        <v>45971</v>
      </c>
      <c r="L25" s="22"/>
      <c r="M25" s="22"/>
      <c r="N25" s="15"/>
      <c r="O25" s="15"/>
      <c r="P25" s="15"/>
      <c r="Q25" s="15"/>
      <c r="R25" s="15"/>
      <c r="S25" s="15"/>
      <c r="T25" s="25" t="str">
        <f t="shared" ca="1" si="14"/>
        <v/>
      </c>
      <c r="U25" s="25" t="str">
        <f t="shared" ca="1" si="15"/>
        <v/>
      </c>
      <c r="V25" s="25"/>
      <c r="W25" s="26" t="s">
        <v>78</v>
      </c>
      <c r="X25" s="25"/>
      <c r="Y25" s="27"/>
      <c r="Z25" s="27"/>
      <c r="AA25" s="28"/>
      <c r="AD25" s="21" t="s">
        <v>35</v>
      </c>
      <c r="AE25" s="19" t="s">
        <v>36</v>
      </c>
    </row>
    <row r="26" spans="1:31" ht="15.75" customHeight="1" x14ac:dyDescent="0.3">
      <c r="A26" s="21">
        <v>4970</v>
      </c>
      <c r="B26" s="37" t="s">
        <v>79</v>
      </c>
      <c r="C26" s="8">
        <v>36</v>
      </c>
      <c r="D26" s="9" t="s">
        <v>76</v>
      </c>
      <c r="E26" s="21" t="s">
        <v>77</v>
      </c>
      <c r="F26" s="38">
        <v>46006</v>
      </c>
      <c r="G26" s="38">
        <v>46006</v>
      </c>
      <c r="H26" s="25"/>
      <c r="I26" s="39"/>
      <c r="J26" s="40"/>
      <c r="K26" s="14">
        <v>46007</v>
      </c>
      <c r="L26" s="22"/>
      <c r="M26" s="22"/>
      <c r="N26" s="15"/>
      <c r="O26" s="15"/>
      <c r="P26" s="15"/>
      <c r="Q26" s="15"/>
      <c r="R26" s="15"/>
      <c r="S26" s="15"/>
      <c r="T26" s="25" t="str">
        <f t="shared" ca="1" si="14"/>
        <v/>
      </c>
      <c r="U26" s="25" t="str">
        <f t="shared" ca="1" si="15"/>
        <v/>
      </c>
      <c r="V26" s="25"/>
      <c r="W26" s="26" t="s">
        <v>80</v>
      </c>
      <c r="X26" s="25"/>
      <c r="Y26" s="27"/>
      <c r="Z26" s="27"/>
      <c r="AA26" s="28"/>
      <c r="AD26" s="21" t="s">
        <v>35</v>
      </c>
      <c r="AE26" s="19" t="s">
        <v>36</v>
      </c>
    </row>
    <row r="27" spans="1:31" ht="15.75" customHeight="1" x14ac:dyDescent="0.3">
      <c r="A27" s="21">
        <v>4419</v>
      </c>
      <c r="B27" s="37" t="s">
        <v>37</v>
      </c>
      <c r="C27" s="8">
        <v>44</v>
      </c>
      <c r="D27" s="9" t="s">
        <v>38</v>
      </c>
      <c r="E27" s="21" t="s">
        <v>46</v>
      </c>
      <c r="F27" s="38">
        <v>45984</v>
      </c>
      <c r="G27" s="38">
        <v>45991</v>
      </c>
      <c r="H27" s="25"/>
      <c r="I27" s="39"/>
      <c r="J27" s="40"/>
      <c r="K27" s="14">
        <v>45992</v>
      </c>
      <c r="L27" s="22"/>
      <c r="M27" s="22"/>
      <c r="N27" s="15"/>
      <c r="O27" s="15"/>
      <c r="P27" s="15"/>
      <c r="Q27" s="15"/>
      <c r="R27" s="15"/>
      <c r="S27" s="15"/>
      <c r="T27" s="22" t="str">
        <f t="shared" ca="1" si="14"/>
        <v>Bad</v>
      </c>
      <c r="U27" s="21">
        <f t="shared" ca="1" si="15"/>
        <v>144</v>
      </c>
      <c r="V27" s="25"/>
      <c r="W27" s="25"/>
      <c r="X27" s="25"/>
      <c r="Y27" s="27"/>
      <c r="Z27" s="27"/>
      <c r="AA27" s="28"/>
      <c r="AD27" s="21" t="s">
        <v>35</v>
      </c>
      <c r="AE27" s="19" t="s">
        <v>36</v>
      </c>
    </row>
    <row r="28" spans="1:31" ht="15.75" customHeight="1" x14ac:dyDescent="0.3">
      <c r="A28" s="6">
        <v>4595</v>
      </c>
      <c r="B28" s="7" t="s">
        <v>47</v>
      </c>
      <c r="C28" s="8">
        <v>53</v>
      </c>
      <c r="D28" s="9" t="s">
        <v>32</v>
      </c>
      <c r="E28" s="6" t="s">
        <v>46</v>
      </c>
      <c r="F28" s="10">
        <v>45719</v>
      </c>
      <c r="G28" s="10">
        <v>45725</v>
      </c>
      <c r="H28" s="16"/>
      <c r="I28" s="53"/>
      <c r="J28" s="54"/>
      <c r="K28" s="41"/>
      <c r="L28" s="11"/>
      <c r="M28" s="11"/>
      <c r="N28" s="15"/>
      <c r="O28" s="15"/>
      <c r="P28" s="15"/>
      <c r="Q28" s="15"/>
      <c r="R28" s="15"/>
      <c r="S28" s="15"/>
      <c r="T28" s="11" t="str">
        <f t="shared" ca="1" si="14"/>
        <v>Bad</v>
      </c>
      <c r="U28" s="6">
        <f t="shared" ca="1" si="15"/>
        <v>410</v>
      </c>
      <c r="V28" s="6">
        <f>109</f>
        <v>109</v>
      </c>
      <c r="W28" s="16"/>
      <c r="X28" s="16"/>
      <c r="Y28" s="10"/>
      <c r="Z28" s="10"/>
      <c r="AA28" s="18"/>
      <c r="AD28" s="6" t="s">
        <v>35</v>
      </c>
      <c r="AE28" s="19" t="s">
        <v>36</v>
      </c>
    </row>
    <row r="29" spans="1:31" ht="14.4" x14ac:dyDescent="0.3">
      <c r="A29" s="21">
        <v>4973</v>
      </c>
      <c r="B29" s="37" t="s">
        <v>81</v>
      </c>
      <c r="C29" s="8">
        <v>53</v>
      </c>
      <c r="D29" s="9" t="s">
        <v>32</v>
      </c>
      <c r="E29" s="21" t="s">
        <v>46</v>
      </c>
      <c r="F29" s="38">
        <v>46013</v>
      </c>
      <c r="G29" s="38">
        <v>46029</v>
      </c>
      <c r="H29" s="25"/>
      <c r="I29" s="39"/>
      <c r="J29" s="40"/>
      <c r="K29" s="41"/>
      <c r="L29" s="25"/>
      <c r="M29" s="25"/>
      <c r="N29" s="15"/>
      <c r="O29" s="15"/>
      <c r="P29" s="15"/>
      <c r="Q29" s="15"/>
      <c r="R29" s="15"/>
      <c r="S29" s="15"/>
      <c r="T29" s="22" t="str">
        <f t="shared" ca="1" si="14"/>
        <v>Bad</v>
      </c>
      <c r="U29" s="21">
        <f t="shared" ca="1" si="15"/>
        <v>106</v>
      </c>
      <c r="V29" s="25"/>
      <c r="W29" s="25"/>
      <c r="X29" s="25"/>
      <c r="Y29" s="27"/>
      <c r="Z29" s="27"/>
      <c r="AA29" s="28"/>
      <c r="AD29" s="21" t="s">
        <v>35</v>
      </c>
      <c r="AE29" s="19" t="s">
        <v>36</v>
      </c>
    </row>
    <row r="30" spans="1:31" ht="14.4" x14ac:dyDescent="0.3">
      <c r="A30" s="6">
        <v>4701</v>
      </c>
      <c r="B30" s="7" t="s">
        <v>37</v>
      </c>
      <c r="C30" s="8">
        <v>56</v>
      </c>
      <c r="D30" s="9" t="s">
        <v>38</v>
      </c>
      <c r="E30" s="6" t="s">
        <v>33</v>
      </c>
      <c r="F30" s="10">
        <v>45832</v>
      </c>
      <c r="G30" s="10">
        <v>45834</v>
      </c>
      <c r="H30" s="11">
        <v>253</v>
      </c>
      <c r="I30" s="12">
        <v>278</v>
      </c>
      <c r="J30" s="13"/>
      <c r="K30" s="14">
        <v>45841</v>
      </c>
      <c r="L30" s="11"/>
      <c r="M30" s="11"/>
      <c r="N30" s="15"/>
      <c r="O30" s="15"/>
      <c r="P30" s="15"/>
      <c r="Q30" s="15"/>
      <c r="R30" s="15"/>
      <c r="S30" s="15"/>
      <c r="T30" s="16" t="str">
        <f t="shared" ca="1" si="14"/>
        <v/>
      </c>
      <c r="U30" s="16" t="str">
        <f t="shared" ca="1" si="15"/>
        <v/>
      </c>
      <c r="V30" s="16"/>
      <c r="W30" s="16"/>
      <c r="X30" s="17" t="s">
        <v>34</v>
      </c>
      <c r="Y30" s="10"/>
      <c r="Z30" s="10"/>
      <c r="AA30" s="18"/>
      <c r="AD30" s="6" t="s">
        <v>35</v>
      </c>
      <c r="AE30" s="19" t="s">
        <v>36</v>
      </c>
    </row>
    <row r="31" spans="1:31" ht="14.4" x14ac:dyDescent="0.3">
      <c r="A31" s="21">
        <v>4889</v>
      </c>
      <c r="B31" s="37" t="s">
        <v>82</v>
      </c>
      <c r="C31" s="8">
        <v>56</v>
      </c>
      <c r="D31" s="9" t="s">
        <v>32</v>
      </c>
      <c r="E31" s="21" t="s">
        <v>77</v>
      </c>
      <c r="F31" s="42">
        <v>45965</v>
      </c>
      <c r="G31" s="42">
        <v>45977</v>
      </c>
      <c r="H31" s="25"/>
      <c r="I31" s="39"/>
      <c r="J31" s="40"/>
      <c r="K31" s="27">
        <v>45979</v>
      </c>
      <c r="L31" s="22"/>
      <c r="M31" s="22"/>
      <c r="N31" s="15"/>
      <c r="O31" s="15"/>
      <c r="P31" s="15"/>
      <c r="Q31" s="15"/>
      <c r="R31" s="15"/>
      <c r="S31" s="15"/>
      <c r="T31" s="25" t="str">
        <f t="shared" ca="1" si="14"/>
        <v/>
      </c>
      <c r="U31" s="25" t="str">
        <f t="shared" ca="1" si="15"/>
        <v/>
      </c>
      <c r="V31" s="25"/>
      <c r="W31" s="26" t="s">
        <v>83</v>
      </c>
      <c r="X31" s="25"/>
      <c r="Y31" s="27"/>
      <c r="Z31" s="27"/>
      <c r="AA31" s="28"/>
      <c r="AD31" s="21" t="s">
        <v>35</v>
      </c>
      <c r="AE31" s="19" t="s">
        <v>36</v>
      </c>
    </row>
    <row r="32" spans="1:31" ht="14.4" x14ac:dyDescent="0.3">
      <c r="A32" s="6">
        <v>3920</v>
      </c>
      <c r="B32" s="7" t="s">
        <v>84</v>
      </c>
      <c r="C32" s="8">
        <v>61</v>
      </c>
      <c r="D32" s="9" t="s">
        <v>38</v>
      </c>
      <c r="E32" s="6" t="s">
        <v>33</v>
      </c>
      <c r="F32" s="10">
        <v>45677</v>
      </c>
      <c r="G32" s="10">
        <v>45683</v>
      </c>
      <c r="H32" s="11">
        <v>285</v>
      </c>
      <c r="I32" s="12">
        <v>330</v>
      </c>
      <c r="J32" s="13"/>
      <c r="K32" s="36">
        <v>45685</v>
      </c>
      <c r="L32" s="11"/>
      <c r="M32" s="11"/>
      <c r="N32" s="15"/>
      <c r="O32" s="15"/>
      <c r="P32" s="15"/>
      <c r="Q32" s="15"/>
      <c r="R32" s="15"/>
      <c r="S32" s="15"/>
      <c r="T32" s="16" t="str">
        <f t="shared" ca="1" si="14"/>
        <v/>
      </c>
      <c r="U32" s="16" t="str">
        <f t="shared" ca="1" si="15"/>
        <v/>
      </c>
      <c r="V32" s="16"/>
      <c r="W32" s="16"/>
      <c r="X32" s="17" t="s">
        <v>34</v>
      </c>
      <c r="Y32" s="10"/>
      <c r="Z32" s="10"/>
      <c r="AA32" s="18"/>
      <c r="AD32" s="6" t="s">
        <v>35</v>
      </c>
      <c r="AE32" s="19" t="s">
        <v>36</v>
      </c>
    </row>
    <row r="33" spans="1:31" ht="14.4" x14ac:dyDescent="0.3">
      <c r="A33" s="21">
        <v>4826</v>
      </c>
      <c r="B33" s="55" t="s">
        <v>47</v>
      </c>
      <c r="C33" s="8">
        <v>61</v>
      </c>
      <c r="D33" s="9" t="s">
        <v>32</v>
      </c>
      <c r="E33" s="21" t="s">
        <v>33</v>
      </c>
      <c r="F33" s="10">
        <v>45915</v>
      </c>
      <c r="G33" s="10">
        <v>45921</v>
      </c>
      <c r="H33" s="22">
        <v>289</v>
      </c>
      <c r="I33" s="23">
        <v>334</v>
      </c>
      <c r="J33" s="24"/>
      <c r="K33" s="14">
        <v>45924</v>
      </c>
      <c r="L33" s="22"/>
      <c r="M33" s="22"/>
      <c r="N33" s="15"/>
      <c r="O33" s="15"/>
      <c r="P33" s="15"/>
      <c r="Q33" s="15"/>
      <c r="R33" s="15"/>
      <c r="S33" s="15"/>
      <c r="T33" s="25" t="str">
        <f t="shared" ca="1" si="14"/>
        <v/>
      </c>
      <c r="U33" s="25" t="str">
        <f t="shared" ca="1" si="15"/>
        <v/>
      </c>
      <c r="V33" s="21">
        <f>27</f>
        <v>27</v>
      </c>
      <c r="W33" s="26" t="s">
        <v>50</v>
      </c>
      <c r="X33" s="26" t="s">
        <v>85</v>
      </c>
      <c r="Y33" s="27"/>
      <c r="Z33" s="27"/>
      <c r="AA33" s="28"/>
      <c r="AD33" s="21" t="s">
        <v>35</v>
      </c>
      <c r="AE33" s="19" t="s">
        <v>36</v>
      </c>
    </row>
    <row r="34" spans="1:31" ht="14.4" x14ac:dyDescent="0.3">
      <c r="A34" s="21">
        <v>4900</v>
      </c>
      <c r="B34" s="37" t="s">
        <v>37</v>
      </c>
      <c r="C34" s="8">
        <v>61</v>
      </c>
      <c r="D34" s="9" t="s">
        <v>38</v>
      </c>
      <c r="E34" s="6" t="s">
        <v>33</v>
      </c>
      <c r="F34" s="42">
        <v>45974</v>
      </c>
      <c r="G34" s="42">
        <v>45976</v>
      </c>
      <c r="H34" s="22">
        <v>264</v>
      </c>
      <c r="I34" s="23">
        <v>334</v>
      </c>
      <c r="J34" s="24"/>
      <c r="K34" s="14">
        <v>45979</v>
      </c>
      <c r="L34" s="22"/>
      <c r="M34" s="22"/>
      <c r="N34" s="15"/>
      <c r="O34" s="15"/>
      <c r="P34" s="15"/>
      <c r="Q34" s="15"/>
      <c r="R34" s="15"/>
      <c r="S34" s="15"/>
      <c r="T34" s="25" t="str">
        <f t="shared" ca="1" si="14"/>
        <v/>
      </c>
      <c r="U34" s="25" t="str">
        <f t="shared" ca="1" si="15"/>
        <v/>
      </c>
      <c r="V34" s="25"/>
      <c r="W34" s="26" t="s">
        <v>86</v>
      </c>
      <c r="X34" s="26" t="s">
        <v>87</v>
      </c>
      <c r="Y34" s="27"/>
      <c r="Z34" s="27"/>
      <c r="AA34" s="28"/>
      <c r="AD34" s="21" t="s">
        <v>35</v>
      </c>
      <c r="AE34" s="19" t="s">
        <v>36</v>
      </c>
    </row>
    <row r="35" spans="1:31" ht="14.4" x14ac:dyDescent="0.3">
      <c r="A35" s="6">
        <v>4669</v>
      </c>
      <c r="B35" s="7" t="s">
        <v>47</v>
      </c>
      <c r="C35" s="8">
        <v>63</v>
      </c>
      <c r="D35" s="9" t="s">
        <v>32</v>
      </c>
      <c r="E35" s="6" t="s">
        <v>33</v>
      </c>
      <c r="F35" s="10">
        <v>45818</v>
      </c>
      <c r="G35" s="10">
        <v>45824</v>
      </c>
      <c r="H35" s="11">
        <v>273</v>
      </c>
      <c r="I35" s="12">
        <v>273</v>
      </c>
      <c r="J35" s="13"/>
      <c r="K35" s="14">
        <v>45826</v>
      </c>
      <c r="L35" s="11"/>
      <c r="M35" s="11"/>
      <c r="N35" s="15"/>
      <c r="O35" s="15"/>
      <c r="P35" s="15"/>
      <c r="Q35" s="15"/>
      <c r="R35" s="15"/>
      <c r="S35" s="15"/>
      <c r="T35" s="16" t="str">
        <f t="shared" ca="1" si="14"/>
        <v/>
      </c>
      <c r="U35" s="16" t="str">
        <f t="shared" ca="1" si="15"/>
        <v/>
      </c>
      <c r="V35" s="16"/>
      <c r="W35" s="16"/>
      <c r="X35" s="17" t="s">
        <v>34</v>
      </c>
      <c r="Y35" s="10"/>
      <c r="Z35" s="10"/>
      <c r="AA35" s="18"/>
      <c r="AD35" s="6" t="s">
        <v>35</v>
      </c>
      <c r="AE35" s="19" t="s">
        <v>36</v>
      </c>
    </row>
    <row r="36" spans="1:31" ht="14.4" x14ac:dyDescent="0.3">
      <c r="A36" s="6">
        <v>4600</v>
      </c>
      <c r="B36" s="7" t="s">
        <v>88</v>
      </c>
      <c r="C36" s="8">
        <v>66</v>
      </c>
      <c r="D36" s="9" t="s">
        <v>57</v>
      </c>
      <c r="E36" s="6" t="s">
        <v>33</v>
      </c>
      <c r="F36" s="10">
        <v>45722</v>
      </c>
      <c r="G36" s="10">
        <v>45722</v>
      </c>
      <c r="H36" s="11">
        <v>10</v>
      </c>
      <c r="I36" s="12">
        <v>20</v>
      </c>
      <c r="J36" s="13"/>
      <c r="K36" s="36">
        <v>45723</v>
      </c>
      <c r="L36" s="11"/>
      <c r="M36" s="11"/>
      <c r="N36" s="15"/>
      <c r="O36" s="15"/>
      <c r="P36" s="15"/>
      <c r="Q36" s="15"/>
      <c r="R36" s="15"/>
      <c r="S36" s="15"/>
      <c r="T36" s="16" t="str">
        <f t="shared" ca="1" si="14"/>
        <v/>
      </c>
      <c r="U36" s="16" t="str">
        <f t="shared" ca="1" si="15"/>
        <v/>
      </c>
      <c r="V36" s="16"/>
      <c r="W36" s="16"/>
      <c r="X36" s="17" t="s">
        <v>34</v>
      </c>
      <c r="Y36" s="10"/>
      <c r="Z36" s="10"/>
      <c r="AA36" s="18"/>
      <c r="AD36" s="6" t="s">
        <v>35</v>
      </c>
      <c r="AE36" s="19" t="s">
        <v>36</v>
      </c>
    </row>
    <row r="37" spans="1:31" ht="14.4" x14ac:dyDescent="0.3">
      <c r="A37" s="21">
        <v>5121</v>
      </c>
      <c r="B37" s="26" t="s">
        <v>47</v>
      </c>
      <c r="C37" s="8">
        <v>71</v>
      </c>
      <c r="D37" s="9" t="s">
        <v>32</v>
      </c>
      <c r="E37" s="21" t="s">
        <v>62</v>
      </c>
      <c r="F37" s="27">
        <v>46132</v>
      </c>
      <c r="G37" s="27">
        <v>46138</v>
      </c>
      <c r="H37" s="29"/>
      <c r="I37" s="30"/>
      <c r="J37" s="21"/>
      <c r="K37" s="48"/>
      <c r="L37" s="29"/>
      <c r="M37" s="29"/>
      <c r="N37" s="32"/>
      <c r="O37" s="33"/>
      <c r="P37" s="33"/>
      <c r="Q37" s="34"/>
      <c r="R37" s="34" t="str">
        <f>IF(Q37,Q37-K37,"")</f>
        <v/>
      </c>
      <c r="S37" s="34" t="str">
        <f>IF(R37="","",IF(R37&lt;=4,"Excellent",IF(R37&lt;=8,"Good",IF(R37&lt;=15,"Average",IF(R37&lt;=30,"Poor",IF(R37&gt;=30,"Bad"))))))</f>
        <v/>
      </c>
      <c r="T37" s="46"/>
      <c r="U37" s="6"/>
      <c r="V37" s="6"/>
      <c r="W37" s="17"/>
      <c r="X37" s="17"/>
      <c r="Y37" s="21"/>
      <c r="Z37" s="21"/>
      <c r="AD37" s="21" t="s">
        <v>35</v>
      </c>
      <c r="AE37" s="19" t="s">
        <v>36</v>
      </c>
    </row>
    <row r="38" spans="1:31" ht="14.4" x14ac:dyDescent="0.3">
      <c r="A38" s="6">
        <v>4540</v>
      </c>
      <c r="B38" s="7" t="s">
        <v>89</v>
      </c>
      <c r="C38" s="8">
        <v>75</v>
      </c>
      <c r="D38" s="9" t="s">
        <v>76</v>
      </c>
      <c r="E38" s="6" t="s">
        <v>33</v>
      </c>
      <c r="F38" s="10">
        <v>45691</v>
      </c>
      <c r="G38" s="10">
        <v>45698</v>
      </c>
      <c r="H38" s="16"/>
      <c r="I38" s="53"/>
      <c r="J38" s="54"/>
      <c r="K38" s="36">
        <v>45700</v>
      </c>
      <c r="L38" s="11"/>
      <c r="M38" s="11"/>
      <c r="N38" s="15"/>
      <c r="O38" s="15"/>
      <c r="P38" s="15"/>
      <c r="Q38" s="15"/>
      <c r="R38" s="15"/>
      <c r="S38" s="15"/>
      <c r="T38" s="16" t="str">
        <f t="shared" ref="T38:T41" ca="1" si="16">IF($U38="","",IF($U38&lt;=3,"Excellent",IF($U38&lt;=7,"Good",IF($U38&lt;=14,"Average",IF($U38&lt;=30,"Poor",IF($U38&gt;=30,"Bad"))))))</f>
        <v/>
      </c>
      <c r="U38" s="16" t="str">
        <f t="shared" ref="U38:U41" ca="1" si="17">IF(E38="Document", IF(G38="", "", TODAY() - G38), "")</f>
        <v/>
      </c>
      <c r="V38" s="16"/>
      <c r="W38" s="16"/>
      <c r="X38" s="17" t="s">
        <v>34</v>
      </c>
      <c r="Y38" s="10"/>
      <c r="Z38" s="10"/>
      <c r="AA38" s="18"/>
      <c r="AD38" s="6" t="s">
        <v>35</v>
      </c>
      <c r="AE38" s="19" t="s">
        <v>36</v>
      </c>
    </row>
    <row r="39" spans="1:31" ht="14.4" x14ac:dyDescent="0.3">
      <c r="A39" s="6">
        <v>4602</v>
      </c>
      <c r="B39" s="7" t="s">
        <v>47</v>
      </c>
      <c r="C39" s="8">
        <v>75</v>
      </c>
      <c r="D39" s="9" t="s">
        <v>32</v>
      </c>
      <c r="E39" s="6" t="s">
        <v>33</v>
      </c>
      <c r="F39" s="10">
        <v>45728</v>
      </c>
      <c r="G39" s="10">
        <v>45729</v>
      </c>
      <c r="H39" s="11">
        <v>65</v>
      </c>
      <c r="I39" s="12">
        <v>125</v>
      </c>
      <c r="J39" s="13"/>
      <c r="K39" s="36">
        <v>45733</v>
      </c>
      <c r="L39" s="11"/>
      <c r="M39" s="11"/>
      <c r="N39" s="15"/>
      <c r="O39" s="15"/>
      <c r="P39" s="15"/>
      <c r="Q39" s="15"/>
      <c r="R39" s="15"/>
      <c r="S39" s="15"/>
      <c r="T39" s="16" t="str">
        <f t="shared" ca="1" si="16"/>
        <v/>
      </c>
      <c r="U39" s="16" t="str">
        <f t="shared" ca="1" si="17"/>
        <v/>
      </c>
      <c r="V39" s="16"/>
      <c r="W39" s="16"/>
      <c r="X39" s="17" t="s">
        <v>34</v>
      </c>
      <c r="Y39" s="10"/>
      <c r="Z39" s="10"/>
      <c r="AA39" s="18"/>
      <c r="AD39" s="6" t="s">
        <v>35</v>
      </c>
      <c r="AE39" s="19" t="s">
        <v>36</v>
      </c>
    </row>
    <row r="40" spans="1:31" ht="14.4" x14ac:dyDescent="0.3">
      <c r="A40" s="6">
        <v>4602</v>
      </c>
      <c r="B40" s="7" t="s">
        <v>47</v>
      </c>
      <c r="C40" s="8">
        <v>75</v>
      </c>
      <c r="D40" s="9" t="s">
        <v>32</v>
      </c>
      <c r="E40" s="6" t="s">
        <v>33</v>
      </c>
      <c r="F40" s="10">
        <v>45729</v>
      </c>
      <c r="G40" s="10">
        <v>45730</v>
      </c>
      <c r="H40" s="11">
        <v>65</v>
      </c>
      <c r="I40" s="12">
        <v>125</v>
      </c>
      <c r="J40" s="13"/>
      <c r="K40" s="36">
        <v>45733</v>
      </c>
      <c r="L40" s="11"/>
      <c r="M40" s="11"/>
      <c r="N40" s="15"/>
      <c r="O40" s="15"/>
      <c r="P40" s="15"/>
      <c r="Q40" s="15"/>
      <c r="R40" s="15"/>
      <c r="S40" s="15"/>
      <c r="T40" s="16" t="str">
        <f t="shared" ca="1" si="16"/>
        <v/>
      </c>
      <c r="U40" s="16" t="str">
        <f t="shared" ca="1" si="17"/>
        <v/>
      </c>
      <c r="V40" s="16"/>
      <c r="W40" s="16"/>
      <c r="X40" s="17" t="s">
        <v>34</v>
      </c>
      <c r="Y40" s="10"/>
      <c r="Z40" s="10"/>
      <c r="AA40" s="18"/>
      <c r="AD40" s="6" t="s">
        <v>35</v>
      </c>
      <c r="AE40" s="19" t="s">
        <v>36</v>
      </c>
    </row>
    <row r="41" spans="1:31" ht="14.4" x14ac:dyDescent="0.3">
      <c r="A41" s="21">
        <v>4942</v>
      </c>
      <c r="B41" s="37" t="s">
        <v>37</v>
      </c>
      <c r="C41" s="8">
        <v>75</v>
      </c>
      <c r="D41" s="9" t="s">
        <v>38</v>
      </c>
      <c r="E41" s="6" t="s">
        <v>33</v>
      </c>
      <c r="F41" s="38">
        <v>45999</v>
      </c>
      <c r="G41" s="38">
        <v>46002</v>
      </c>
      <c r="H41" s="35">
        <v>301</v>
      </c>
      <c r="I41" s="56">
        <v>311</v>
      </c>
      <c r="J41" s="57"/>
      <c r="K41" s="58">
        <v>46036</v>
      </c>
      <c r="L41" s="35"/>
      <c r="M41" s="35"/>
      <c r="N41" s="15"/>
      <c r="O41" s="15"/>
      <c r="P41" s="15"/>
      <c r="Q41" s="15"/>
      <c r="R41" s="15"/>
      <c r="S41" s="15"/>
      <c r="T41" s="25" t="str">
        <f t="shared" ca="1" si="16"/>
        <v/>
      </c>
      <c r="U41" s="25" t="str">
        <f t="shared" ca="1" si="17"/>
        <v/>
      </c>
      <c r="V41" s="25"/>
      <c r="W41" s="25" t="s">
        <v>90</v>
      </c>
      <c r="X41" s="25" t="s">
        <v>87</v>
      </c>
      <c r="Y41" s="27"/>
      <c r="Z41" s="27"/>
      <c r="AA41" s="28"/>
      <c r="AD41" s="21" t="s">
        <v>35</v>
      </c>
      <c r="AE41" s="19" t="s">
        <v>36</v>
      </c>
    </row>
    <row r="42" spans="1:31" ht="14.4" x14ac:dyDescent="0.3">
      <c r="A42" s="21">
        <v>5023</v>
      </c>
      <c r="B42" s="26" t="s">
        <v>91</v>
      </c>
      <c r="C42" s="8">
        <v>82</v>
      </c>
      <c r="D42" s="9" t="s">
        <v>32</v>
      </c>
      <c r="E42" s="6" t="s">
        <v>33</v>
      </c>
      <c r="F42" s="27">
        <v>46043</v>
      </c>
      <c r="G42" s="27">
        <v>46043</v>
      </c>
      <c r="H42" s="29">
        <v>24</v>
      </c>
      <c r="I42" s="30">
        <v>79</v>
      </c>
      <c r="J42" s="21"/>
      <c r="K42" s="31">
        <v>46053</v>
      </c>
      <c r="L42" s="29"/>
      <c r="M42" s="29"/>
      <c r="N42" s="32">
        <v>46055</v>
      </c>
      <c r="O42" s="33"/>
      <c r="P42" s="33"/>
      <c r="Q42" s="34"/>
      <c r="R42" s="34" t="str">
        <f t="shared" ref="R42:R43" si="18">IF(Q42,Q42-K42,"")</f>
        <v/>
      </c>
      <c r="S42" s="34" t="str">
        <f t="shared" ref="S42:S43" si="19">IF(R42="","",IF(R42&lt;=4,"Excellent",IF(R42&lt;=8,"Good",IF(R42&lt;=15,"Average",IF(R42&lt;=30,"Poor",IF(R42&gt;=30,"Bad"))))))</f>
        <v/>
      </c>
      <c r="T42" s="29" t="str">
        <f t="shared" ref="T42:T43" ca="1" si="20">IF(U42="","",IF(U42&lt;=3,"Excellent",IF(U42&lt;=7,"Good",IF(U42&lt;=14,"Average",IF(U42&lt;=30,"Poor",IF(U42&gt;=30,"Bad"))))))</f>
        <v/>
      </c>
      <c r="U42" s="29" t="str">
        <f ca="1">IF(E42="Document", IF(#REF!="", "", TODAY() -#REF!), "")</f>
        <v/>
      </c>
      <c r="V42" s="29"/>
      <c r="W42" s="16" t="s">
        <v>92</v>
      </c>
      <c r="X42" s="16" t="s">
        <v>93</v>
      </c>
      <c r="Y42" s="21"/>
      <c r="Z42" s="21"/>
      <c r="AD42" s="21" t="s">
        <v>35</v>
      </c>
      <c r="AE42" s="19" t="s">
        <v>36</v>
      </c>
    </row>
    <row r="43" spans="1:31" ht="14.4" x14ac:dyDescent="0.3">
      <c r="A43" s="21">
        <v>5036</v>
      </c>
      <c r="B43" s="26" t="s">
        <v>94</v>
      </c>
      <c r="C43" s="8">
        <v>87</v>
      </c>
      <c r="D43" s="9" t="s">
        <v>57</v>
      </c>
      <c r="E43" s="21" t="s">
        <v>33</v>
      </c>
      <c r="F43" s="27">
        <v>46051</v>
      </c>
      <c r="G43" s="27">
        <v>46051</v>
      </c>
      <c r="H43" s="29">
        <v>65</v>
      </c>
      <c r="I43" s="30">
        <v>120</v>
      </c>
      <c r="J43" s="21"/>
      <c r="K43" s="31">
        <v>46051</v>
      </c>
      <c r="L43" s="29"/>
      <c r="M43" s="29"/>
      <c r="N43" s="32">
        <v>46051</v>
      </c>
      <c r="O43" s="33"/>
      <c r="P43" s="33"/>
      <c r="Q43" s="34"/>
      <c r="R43" s="34" t="str">
        <f t="shared" si="18"/>
        <v/>
      </c>
      <c r="S43" s="34" t="str">
        <f t="shared" si="19"/>
        <v/>
      </c>
      <c r="T43" s="29" t="str">
        <f t="shared" ca="1" si="20"/>
        <v/>
      </c>
      <c r="U43" s="29" t="str">
        <f ca="1">IF(E43="Document", IF(#REF!="", "", TODAY() -#REF!), "")</f>
        <v/>
      </c>
      <c r="V43" s="29"/>
      <c r="W43" s="16" t="s">
        <v>61</v>
      </c>
      <c r="X43" s="16" t="s">
        <v>93</v>
      </c>
      <c r="Y43" s="21"/>
      <c r="Z43" s="21"/>
      <c r="AD43" s="21" t="s">
        <v>35</v>
      </c>
      <c r="AE43" s="19" t="s">
        <v>36</v>
      </c>
    </row>
    <row r="44" spans="1:31" ht="14.4" x14ac:dyDescent="0.3">
      <c r="A44" s="21">
        <v>4794</v>
      </c>
      <c r="B44" s="55" t="s">
        <v>95</v>
      </c>
      <c r="C44" s="8">
        <v>87</v>
      </c>
      <c r="D44" s="9" t="s">
        <v>32</v>
      </c>
      <c r="E44" s="21" t="s">
        <v>77</v>
      </c>
      <c r="F44" s="10">
        <v>45887</v>
      </c>
      <c r="G44" s="10">
        <v>45893</v>
      </c>
      <c r="H44" s="25"/>
      <c r="I44" s="39"/>
      <c r="J44" s="40"/>
      <c r="K44" s="14">
        <v>45896</v>
      </c>
      <c r="L44" s="22"/>
      <c r="M44" s="22"/>
      <c r="N44" s="15"/>
      <c r="O44" s="15"/>
      <c r="P44" s="15"/>
      <c r="Q44" s="15"/>
      <c r="R44" s="15"/>
      <c r="S44" s="15"/>
      <c r="T44" s="25" t="str">
        <f ca="1">IF($U44="","",IF($U44&lt;=3,"Excellent",IF($U44&lt;=7,"Good",IF($U44&lt;=14,"Average",IF($U44&lt;=30,"Poor",IF($U44&gt;=30,"Bad"))))))</f>
        <v/>
      </c>
      <c r="U44" s="25" t="str">
        <f ca="1">IF(E44="Document", IF(G44="", "", TODAY() - G44), "")</f>
        <v/>
      </c>
      <c r="V44" s="25"/>
      <c r="W44" s="26" t="s">
        <v>96</v>
      </c>
      <c r="X44" s="25"/>
      <c r="Y44" s="27"/>
      <c r="Z44" s="27"/>
      <c r="AA44" s="28"/>
      <c r="AD44" s="21" t="s">
        <v>35</v>
      </c>
      <c r="AE44" s="19" t="s">
        <v>36</v>
      </c>
    </row>
    <row r="45" spans="1:31" ht="14.4" x14ac:dyDescent="0.3">
      <c r="A45" s="21">
        <v>5105</v>
      </c>
      <c r="B45" s="26" t="s">
        <v>37</v>
      </c>
      <c r="C45" s="8">
        <v>88</v>
      </c>
      <c r="D45" s="9" t="s">
        <v>38</v>
      </c>
      <c r="E45" s="21" t="s">
        <v>62</v>
      </c>
      <c r="F45" s="27">
        <v>46132</v>
      </c>
      <c r="G45" s="27">
        <v>46136</v>
      </c>
      <c r="H45" s="29"/>
      <c r="I45" s="30"/>
      <c r="J45" s="21"/>
      <c r="K45" s="48"/>
      <c r="L45" s="29"/>
      <c r="M45" s="29"/>
      <c r="N45" s="32"/>
      <c r="O45" s="33"/>
      <c r="P45" s="33"/>
      <c r="Q45" s="34"/>
      <c r="R45" s="34" t="str">
        <f>IF(Q45,Q45-K45,"")</f>
        <v/>
      </c>
      <c r="S45" s="34" t="str">
        <f>IF(R45="","",IF(R45&lt;=4,"Excellent",IF(R45&lt;=8,"Good",IF(R45&lt;=15,"Average",IF(R45&lt;=30,"Poor",IF(R45&gt;=30,"Bad"))))))</f>
        <v/>
      </c>
      <c r="T45" s="46"/>
      <c r="U45" s="6"/>
      <c r="V45" s="6"/>
      <c r="W45" s="17"/>
      <c r="X45" s="17"/>
      <c r="Y45" s="21"/>
      <c r="Z45" s="21"/>
      <c r="AD45" s="21" t="s">
        <v>35</v>
      </c>
      <c r="AE45" s="19" t="s">
        <v>36</v>
      </c>
    </row>
    <row r="46" spans="1:31" ht="14.4" x14ac:dyDescent="0.3">
      <c r="A46" s="6">
        <v>4599</v>
      </c>
      <c r="B46" s="7" t="s">
        <v>84</v>
      </c>
      <c r="C46" s="8">
        <v>88</v>
      </c>
      <c r="D46" s="9" t="s">
        <v>38</v>
      </c>
      <c r="E46" s="6" t="s">
        <v>46</v>
      </c>
      <c r="F46" s="10">
        <v>45726</v>
      </c>
      <c r="G46" s="10">
        <v>45732</v>
      </c>
      <c r="H46" s="16"/>
      <c r="I46" s="53"/>
      <c r="J46" s="54"/>
      <c r="K46" s="41"/>
      <c r="L46" s="11"/>
      <c r="M46" s="11"/>
      <c r="N46" s="15"/>
      <c r="O46" s="15"/>
      <c r="P46" s="15"/>
      <c r="Q46" s="15"/>
      <c r="R46" s="15"/>
      <c r="S46" s="15"/>
      <c r="T46" s="11" t="str">
        <f t="shared" ref="T46:T52" ca="1" si="21">IF($U46="","",IF($U46&lt;=3,"Excellent",IF($U46&lt;=7,"Good",IF($U46&lt;=14,"Average",IF($U46&lt;=30,"Poor",IF($U46&gt;=30,"Bad"))))))</f>
        <v>Bad</v>
      </c>
      <c r="U46" s="6">
        <f t="shared" ref="U46:U52" ca="1" si="22">IF(E46="Document", IF(G46="", "", TODAY() - G46), "")</f>
        <v>403</v>
      </c>
      <c r="V46" s="6">
        <f>109</f>
        <v>109</v>
      </c>
      <c r="W46" s="16"/>
      <c r="X46" s="16"/>
      <c r="Y46" s="10"/>
      <c r="Z46" s="10"/>
      <c r="AA46" s="18"/>
      <c r="AD46" s="6" t="s">
        <v>35</v>
      </c>
      <c r="AE46" s="19" t="s">
        <v>36</v>
      </c>
    </row>
    <row r="47" spans="1:31" ht="14.4" x14ac:dyDescent="0.3">
      <c r="A47" s="21">
        <v>4833</v>
      </c>
      <c r="B47" s="37" t="s">
        <v>97</v>
      </c>
      <c r="C47" s="8">
        <v>89</v>
      </c>
      <c r="D47" s="9" t="s">
        <v>32</v>
      </c>
      <c r="E47" s="21" t="s">
        <v>46</v>
      </c>
      <c r="F47" s="42">
        <v>45971</v>
      </c>
      <c r="G47" s="42">
        <v>45980</v>
      </c>
      <c r="H47" s="25"/>
      <c r="I47" s="39"/>
      <c r="J47" s="40"/>
      <c r="K47" s="41"/>
      <c r="L47" s="25"/>
      <c r="M47" s="25"/>
      <c r="N47" s="15"/>
      <c r="O47" s="15"/>
      <c r="P47" s="15"/>
      <c r="Q47" s="15"/>
      <c r="R47" s="15"/>
      <c r="S47" s="15"/>
      <c r="T47" s="22" t="str">
        <f t="shared" ca="1" si="21"/>
        <v>Bad</v>
      </c>
      <c r="U47" s="21">
        <f t="shared" ca="1" si="22"/>
        <v>155</v>
      </c>
      <c r="V47" s="25"/>
      <c r="W47" s="25"/>
      <c r="X47" s="25"/>
      <c r="Y47" s="27"/>
      <c r="Z47" s="27"/>
      <c r="AA47" s="28"/>
      <c r="AD47" s="21" t="s">
        <v>35</v>
      </c>
      <c r="AE47" s="19" t="s">
        <v>36</v>
      </c>
    </row>
    <row r="48" spans="1:31" ht="14.4" x14ac:dyDescent="0.3">
      <c r="A48" s="6">
        <v>4639</v>
      </c>
      <c r="B48" s="7" t="s">
        <v>84</v>
      </c>
      <c r="C48" s="8">
        <v>96</v>
      </c>
      <c r="D48" s="9" t="s">
        <v>38</v>
      </c>
      <c r="E48" s="6" t="s">
        <v>33</v>
      </c>
      <c r="F48" s="10">
        <v>45775</v>
      </c>
      <c r="G48" s="10">
        <v>45777</v>
      </c>
      <c r="H48" s="11">
        <v>294</v>
      </c>
      <c r="I48" s="12">
        <v>294</v>
      </c>
      <c r="J48" s="13"/>
      <c r="K48" s="14">
        <v>45777</v>
      </c>
      <c r="L48" s="11"/>
      <c r="M48" s="11"/>
      <c r="N48" s="15"/>
      <c r="O48" s="15"/>
      <c r="P48" s="15"/>
      <c r="Q48" s="15"/>
      <c r="R48" s="15"/>
      <c r="S48" s="15"/>
      <c r="T48" s="16" t="str">
        <f t="shared" ca="1" si="21"/>
        <v/>
      </c>
      <c r="U48" s="16" t="str">
        <f t="shared" ca="1" si="22"/>
        <v/>
      </c>
      <c r="V48" s="16"/>
      <c r="W48" s="16"/>
      <c r="X48" s="17" t="s">
        <v>34</v>
      </c>
      <c r="Y48" s="10"/>
      <c r="Z48" s="10"/>
      <c r="AA48" s="18"/>
      <c r="AD48" s="6" t="s">
        <v>35</v>
      </c>
      <c r="AE48" s="19" t="s">
        <v>36</v>
      </c>
    </row>
    <row r="49" spans="1:31" ht="14.4" x14ac:dyDescent="0.3">
      <c r="A49" s="21">
        <v>4777</v>
      </c>
      <c r="B49" s="55" t="s">
        <v>98</v>
      </c>
      <c r="C49" s="8">
        <v>96</v>
      </c>
      <c r="D49" s="9" t="s">
        <v>38</v>
      </c>
      <c r="E49" s="21" t="s">
        <v>33</v>
      </c>
      <c r="F49" s="10">
        <v>45874</v>
      </c>
      <c r="G49" s="10">
        <v>45878</v>
      </c>
      <c r="H49" s="22">
        <v>316</v>
      </c>
      <c r="I49" s="23">
        <v>341</v>
      </c>
      <c r="J49" s="24"/>
      <c r="K49" s="14">
        <v>45880</v>
      </c>
      <c r="L49" s="22"/>
      <c r="M49" s="22"/>
      <c r="N49" s="15"/>
      <c r="O49" s="15"/>
      <c r="P49" s="15"/>
      <c r="Q49" s="15"/>
      <c r="R49" s="15"/>
      <c r="S49" s="15"/>
      <c r="T49" s="25" t="str">
        <f t="shared" ca="1" si="21"/>
        <v/>
      </c>
      <c r="U49" s="25" t="str">
        <f t="shared" ca="1" si="22"/>
        <v/>
      </c>
      <c r="V49" s="25"/>
      <c r="W49" s="26" t="s">
        <v>99</v>
      </c>
      <c r="X49" s="26" t="s">
        <v>100</v>
      </c>
      <c r="Y49" s="27"/>
      <c r="Z49" s="27"/>
      <c r="AA49" s="28"/>
      <c r="AD49" s="21" t="s">
        <v>35</v>
      </c>
      <c r="AE49" s="19" t="s">
        <v>36</v>
      </c>
    </row>
    <row r="50" spans="1:31" ht="14.4" x14ac:dyDescent="0.3">
      <c r="A50" s="21">
        <v>4846</v>
      </c>
      <c r="B50" s="7" t="s">
        <v>37</v>
      </c>
      <c r="C50" s="8">
        <v>96</v>
      </c>
      <c r="D50" s="9" t="s">
        <v>38</v>
      </c>
      <c r="E50" s="21" t="s">
        <v>33</v>
      </c>
      <c r="F50" s="10">
        <v>45930</v>
      </c>
      <c r="G50" s="10">
        <v>45938</v>
      </c>
      <c r="H50" s="22">
        <v>208</v>
      </c>
      <c r="I50" s="23">
        <v>238</v>
      </c>
      <c r="J50" s="24"/>
      <c r="K50" s="14">
        <v>45939</v>
      </c>
      <c r="L50" s="22"/>
      <c r="M50" s="22"/>
      <c r="N50" s="15"/>
      <c r="O50" s="15"/>
      <c r="P50" s="15"/>
      <c r="Q50" s="15"/>
      <c r="R50" s="15"/>
      <c r="S50" s="15"/>
      <c r="T50" s="25" t="str">
        <f t="shared" ca="1" si="21"/>
        <v/>
      </c>
      <c r="U50" s="25" t="str">
        <f t="shared" ca="1" si="22"/>
        <v/>
      </c>
      <c r="V50" s="25"/>
      <c r="W50" s="26" t="s">
        <v>101</v>
      </c>
      <c r="X50" s="26" t="s">
        <v>102</v>
      </c>
      <c r="Y50" s="27"/>
      <c r="Z50" s="27"/>
      <c r="AA50" s="28"/>
      <c r="AD50" s="21" t="s">
        <v>35</v>
      </c>
      <c r="AE50" s="19" t="s">
        <v>36</v>
      </c>
    </row>
    <row r="51" spans="1:31" ht="14.4" x14ac:dyDescent="0.3">
      <c r="A51" s="21">
        <v>4925</v>
      </c>
      <c r="B51" s="37" t="s">
        <v>103</v>
      </c>
      <c r="C51" s="8">
        <v>96</v>
      </c>
      <c r="D51" s="9" t="s">
        <v>32</v>
      </c>
      <c r="E51" s="21" t="s">
        <v>33</v>
      </c>
      <c r="F51" s="38">
        <v>45993</v>
      </c>
      <c r="G51" s="38">
        <v>45995</v>
      </c>
      <c r="H51" s="22">
        <v>153</v>
      </c>
      <c r="I51" s="23">
        <v>213</v>
      </c>
      <c r="J51" s="24"/>
      <c r="K51" s="14">
        <v>46001</v>
      </c>
      <c r="L51" s="22"/>
      <c r="M51" s="22"/>
      <c r="N51" s="15"/>
      <c r="O51" s="15"/>
      <c r="P51" s="15"/>
      <c r="Q51" s="15"/>
      <c r="R51" s="15"/>
      <c r="S51" s="15"/>
      <c r="T51" s="25" t="str">
        <f t="shared" ca="1" si="21"/>
        <v/>
      </c>
      <c r="U51" s="25" t="str">
        <f t="shared" ca="1" si="22"/>
        <v/>
      </c>
      <c r="V51" s="25"/>
      <c r="W51" s="26" t="s">
        <v>104</v>
      </c>
      <c r="X51" s="26" t="s">
        <v>105</v>
      </c>
      <c r="Y51" s="27"/>
      <c r="Z51" s="27"/>
      <c r="AA51" s="28"/>
      <c r="AD51" s="21" t="s">
        <v>35</v>
      </c>
      <c r="AE51" s="19" t="s">
        <v>36</v>
      </c>
    </row>
    <row r="52" spans="1:31" ht="14.4" x14ac:dyDescent="0.3">
      <c r="A52" s="6">
        <v>4575</v>
      </c>
      <c r="B52" s="7" t="s">
        <v>47</v>
      </c>
      <c r="C52" s="8">
        <v>97</v>
      </c>
      <c r="D52" s="9" t="s">
        <v>32</v>
      </c>
      <c r="E52" s="6" t="s">
        <v>33</v>
      </c>
      <c r="F52" s="10">
        <v>45719</v>
      </c>
      <c r="G52" s="10">
        <v>45725</v>
      </c>
      <c r="H52" s="11">
        <v>169</v>
      </c>
      <c r="I52" s="12">
        <v>229</v>
      </c>
      <c r="J52" s="13"/>
      <c r="K52" s="14">
        <v>45726</v>
      </c>
      <c r="L52" s="11"/>
      <c r="M52" s="11"/>
      <c r="N52" s="15"/>
      <c r="O52" s="15"/>
      <c r="P52" s="15"/>
      <c r="Q52" s="15"/>
      <c r="R52" s="15"/>
      <c r="S52" s="15"/>
      <c r="T52" s="16" t="str">
        <f t="shared" ca="1" si="21"/>
        <v/>
      </c>
      <c r="U52" s="16" t="str">
        <f t="shared" ca="1" si="22"/>
        <v/>
      </c>
      <c r="V52" s="16"/>
      <c r="W52" s="17" t="s">
        <v>106</v>
      </c>
      <c r="X52" s="17" t="s">
        <v>107</v>
      </c>
      <c r="Y52" s="10"/>
      <c r="Z52" s="10"/>
      <c r="AA52" s="18"/>
      <c r="AD52" s="6" t="s">
        <v>35</v>
      </c>
      <c r="AE52" s="19" t="s">
        <v>36</v>
      </c>
    </row>
    <row r="53" spans="1:31" ht="14.4" x14ac:dyDescent="0.3">
      <c r="A53" s="8">
        <v>4994</v>
      </c>
      <c r="B53" s="43" t="s">
        <v>108</v>
      </c>
      <c r="C53" s="8">
        <v>99</v>
      </c>
      <c r="D53" s="44" t="s">
        <v>57</v>
      </c>
      <c r="E53" s="8" t="s">
        <v>33</v>
      </c>
      <c r="F53" s="45">
        <v>46030</v>
      </c>
      <c r="G53" s="45">
        <v>46030</v>
      </c>
      <c r="H53" s="46">
        <v>20</v>
      </c>
      <c r="I53" s="47">
        <v>35</v>
      </c>
      <c r="J53" s="8"/>
      <c r="K53" s="48">
        <v>46031</v>
      </c>
      <c r="L53" s="46"/>
      <c r="M53" s="46"/>
      <c r="N53" s="49">
        <v>46031</v>
      </c>
      <c r="O53" s="50"/>
      <c r="P53" s="50"/>
      <c r="Q53" s="51"/>
      <c r="R53" s="51" t="str">
        <f t="shared" ref="R53:R57" si="23">IF(Q53,Q53-K53,"")</f>
        <v/>
      </c>
      <c r="S53" s="51" t="str">
        <f t="shared" ref="S53:S57" si="24">IF(R53="","",IF(R53&lt;=4,"Excellent",IF(R53&lt;=8,"Good",IF(R53&lt;=15,"Average",IF(R53&lt;=30,"Poor",IF(R53&gt;=30,"Bad"))))))</f>
        <v/>
      </c>
      <c r="T53" s="46" t="str">
        <f t="shared" ref="T53:T56" ca="1" si="25">IF(U53="","",IF(U53&lt;=3,"Excellent",IF(U53&lt;=7,"Good",IF(U53&lt;=14,"Average",IF(U53&lt;=30,"Poor",IF(U53&gt;=30,"Bad"))))))</f>
        <v/>
      </c>
      <c r="U53" s="6" t="str">
        <f ca="1">IF(E53="Document", IF(#REF!="", "", TODAY() -#REF!), "")</f>
        <v/>
      </c>
      <c r="V53" s="6"/>
      <c r="W53" s="17" t="s">
        <v>109</v>
      </c>
      <c r="X53" s="17" t="s">
        <v>110</v>
      </c>
      <c r="Y53" s="8"/>
      <c r="Z53" s="8"/>
      <c r="AD53" s="8" t="s">
        <v>35</v>
      </c>
      <c r="AE53" s="19" t="s">
        <v>36</v>
      </c>
    </row>
    <row r="54" spans="1:31" ht="14.4" x14ac:dyDescent="0.3">
      <c r="A54" s="21">
        <v>5018</v>
      </c>
      <c r="B54" s="26" t="s">
        <v>111</v>
      </c>
      <c r="C54" s="8">
        <v>99</v>
      </c>
      <c r="D54" s="9" t="s">
        <v>76</v>
      </c>
      <c r="E54" s="6" t="s">
        <v>33</v>
      </c>
      <c r="F54" s="27">
        <v>46036</v>
      </c>
      <c r="G54" s="27">
        <v>46036</v>
      </c>
      <c r="H54" s="29">
        <v>27</v>
      </c>
      <c r="I54" s="30">
        <v>27</v>
      </c>
      <c r="J54" s="21"/>
      <c r="K54" s="31">
        <v>46041</v>
      </c>
      <c r="L54" s="29"/>
      <c r="M54" s="29"/>
      <c r="N54" s="32">
        <v>46041</v>
      </c>
      <c r="O54" s="33"/>
      <c r="P54" s="33"/>
      <c r="Q54" s="34"/>
      <c r="R54" s="34" t="str">
        <f t="shared" si="23"/>
        <v/>
      </c>
      <c r="S54" s="34" t="str">
        <f t="shared" si="24"/>
        <v/>
      </c>
      <c r="T54" s="29" t="str">
        <f t="shared" ca="1" si="25"/>
        <v/>
      </c>
      <c r="U54" s="29" t="str">
        <f ca="1">IF(E54="Document", IF(#REF!="", "", TODAY() -#REF!), "")</f>
        <v/>
      </c>
      <c r="V54" s="29"/>
      <c r="W54" s="16" t="s">
        <v>92</v>
      </c>
      <c r="X54" s="16" t="s">
        <v>93</v>
      </c>
      <c r="Y54" s="21"/>
      <c r="Z54" s="21"/>
      <c r="AD54" s="21" t="s">
        <v>35</v>
      </c>
      <c r="AE54" s="19" t="s">
        <v>36</v>
      </c>
    </row>
    <row r="55" spans="1:31" ht="14.4" x14ac:dyDescent="0.3">
      <c r="A55" s="21">
        <v>5086</v>
      </c>
      <c r="B55" s="26" t="s">
        <v>112</v>
      </c>
      <c r="C55" s="8">
        <v>99</v>
      </c>
      <c r="D55" s="9" t="s">
        <v>57</v>
      </c>
      <c r="E55" s="6" t="s">
        <v>33</v>
      </c>
      <c r="F55" s="27">
        <v>46076</v>
      </c>
      <c r="G55" s="27">
        <v>46077</v>
      </c>
      <c r="H55" s="29">
        <v>45</v>
      </c>
      <c r="I55" s="30">
        <v>45</v>
      </c>
      <c r="J55" s="21"/>
      <c r="K55" s="31">
        <v>46091</v>
      </c>
      <c r="L55" s="29"/>
      <c r="M55" s="29"/>
      <c r="N55" s="32">
        <v>46091</v>
      </c>
      <c r="O55" s="33"/>
      <c r="P55" s="33"/>
      <c r="Q55" s="34"/>
      <c r="R55" s="34" t="str">
        <f t="shared" si="23"/>
        <v/>
      </c>
      <c r="S55" s="34" t="str">
        <f t="shared" si="24"/>
        <v/>
      </c>
      <c r="T55" s="29" t="str">
        <f t="shared" ca="1" si="25"/>
        <v/>
      </c>
      <c r="U55" s="29" t="str">
        <f ca="1">IF(E55="Document", IF(#REF!="", "", TODAY() -#REF!), "")</f>
        <v/>
      </c>
      <c r="V55" s="29">
        <f>1</f>
        <v>1</v>
      </c>
      <c r="W55" s="16" t="s">
        <v>113</v>
      </c>
      <c r="X55" s="16" t="s">
        <v>114</v>
      </c>
      <c r="Y55" s="21"/>
      <c r="Z55" s="21"/>
      <c r="AD55" s="21" t="s">
        <v>35</v>
      </c>
      <c r="AE55" s="19" t="s">
        <v>36</v>
      </c>
    </row>
    <row r="56" spans="1:31" ht="14.4" x14ac:dyDescent="0.3">
      <c r="A56" s="21">
        <v>5107</v>
      </c>
      <c r="B56" s="26" t="s">
        <v>115</v>
      </c>
      <c r="C56" s="8">
        <v>99</v>
      </c>
      <c r="D56" s="9" t="s">
        <v>57</v>
      </c>
      <c r="E56" s="21" t="s">
        <v>46</v>
      </c>
      <c r="F56" s="27">
        <v>46092</v>
      </c>
      <c r="G56" s="27">
        <v>46092</v>
      </c>
      <c r="H56" s="29"/>
      <c r="I56" s="30"/>
      <c r="J56" s="21"/>
      <c r="K56" s="31"/>
      <c r="L56" s="29"/>
      <c r="M56" s="29"/>
      <c r="N56" s="32"/>
      <c r="O56" s="33"/>
      <c r="P56" s="33"/>
      <c r="Q56" s="34"/>
      <c r="R56" s="34" t="str">
        <f t="shared" si="23"/>
        <v/>
      </c>
      <c r="S56" s="34" t="str">
        <f t="shared" si="24"/>
        <v/>
      </c>
      <c r="T56" s="29" t="str">
        <f t="shared" ca="1" si="25"/>
        <v>Bad</v>
      </c>
      <c r="U56" s="21">
        <f t="shared" ref="U56" ca="1" si="26">IF(E56="Document", IF(G56="", "", TODAY() - G56), "")</f>
        <v>43</v>
      </c>
      <c r="V56" s="29">
        <f>39</f>
        <v>39</v>
      </c>
      <c r="W56" s="16"/>
      <c r="X56" s="16"/>
      <c r="Y56" s="21"/>
      <c r="Z56" s="21"/>
      <c r="AD56" s="21" t="s">
        <v>35</v>
      </c>
      <c r="AE56" s="19" t="s">
        <v>36</v>
      </c>
    </row>
    <row r="57" spans="1:31" ht="14.4" x14ac:dyDescent="0.3">
      <c r="A57" s="21">
        <v>5127</v>
      </c>
      <c r="B57" s="26" t="s">
        <v>47</v>
      </c>
      <c r="C57" s="8">
        <v>99</v>
      </c>
      <c r="D57" s="9" t="s">
        <v>32</v>
      </c>
      <c r="E57" s="21" t="s">
        <v>62</v>
      </c>
      <c r="F57" s="27">
        <v>46132</v>
      </c>
      <c r="G57" s="27">
        <v>46138</v>
      </c>
      <c r="H57" s="29"/>
      <c r="I57" s="30"/>
      <c r="J57" s="21"/>
      <c r="K57" s="48"/>
      <c r="L57" s="29"/>
      <c r="M57" s="29"/>
      <c r="N57" s="32"/>
      <c r="O57" s="33"/>
      <c r="P57" s="33"/>
      <c r="Q57" s="34"/>
      <c r="R57" s="34" t="str">
        <f t="shared" si="23"/>
        <v/>
      </c>
      <c r="S57" s="34" t="str">
        <f t="shared" si="24"/>
        <v/>
      </c>
      <c r="T57" s="46"/>
      <c r="U57" s="6"/>
      <c r="V57" s="6"/>
      <c r="W57" s="17"/>
      <c r="X57" s="17"/>
      <c r="Y57" s="21"/>
      <c r="Z57" s="21"/>
      <c r="AD57" s="21" t="s">
        <v>35</v>
      </c>
      <c r="AE57" s="19" t="s">
        <v>36</v>
      </c>
    </row>
    <row r="58" spans="1:31" ht="14.4" x14ac:dyDescent="0.3">
      <c r="A58" s="6">
        <v>4616</v>
      </c>
      <c r="B58" s="7" t="s">
        <v>116</v>
      </c>
      <c r="C58" s="8">
        <v>99</v>
      </c>
      <c r="D58" s="9" t="s">
        <v>76</v>
      </c>
      <c r="E58" s="6" t="s">
        <v>33</v>
      </c>
      <c r="F58" s="10">
        <v>45742</v>
      </c>
      <c r="G58" s="10">
        <v>45743</v>
      </c>
      <c r="H58" s="11">
        <v>23</v>
      </c>
      <c r="I58" s="12">
        <v>23</v>
      </c>
      <c r="J58" s="13"/>
      <c r="K58" s="14">
        <v>45762</v>
      </c>
      <c r="L58" s="11"/>
      <c r="M58" s="11"/>
      <c r="N58" s="15"/>
      <c r="O58" s="15"/>
      <c r="P58" s="15"/>
      <c r="Q58" s="15"/>
      <c r="R58" s="15"/>
      <c r="S58" s="15"/>
      <c r="T58" s="16" t="str">
        <f t="shared" ref="T58:T62" ca="1" si="27">IF($U58="","",IF($U58&lt;=3,"Excellent",IF($U58&lt;=7,"Good",IF($U58&lt;=14,"Average",IF($U58&lt;=30,"Poor",IF($U58&gt;=30,"Bad"))))))</f>
        <v/>
      </c>
      <c r="U58" s="16" t="str">
        <f t="shared" ref="U58:U62" ca="1" si="28">IF(E58="Document", IF(G58="", "", TODAY() - G58), "")</f>
        <v/>
      </c>
      <c r="V58" s="6">
        <f>11</f>
        <v>11</v>
      </c>
      <c r="W58" s="17" t="s">
        <v>117</v>
      </c>
      <c r="X58" s="17" t="s">
        <v>118</v>
      </c>
      <c r="Y58" s="10"/>
      <c r="Z58" s="10"/>
      <c r="AA58" s="18"/>
      <c r="AD58" s="6" t="s">
        <v>35</v>
      </c>
      <c r="AE58" s="19" t="s">
        <v>36</v>
      </c>
    </row>
    <row r="59" spans="1:31" ht="14.4" x14ac:dyDescent="0.3">
      <c r="A59" s="21">
        <v>4728</v>
      </c>
      <c r="B59" s="20" t="s">
        <v>119</v>
      </c>
      <c r="C59" s="8">
        <v>99</v>
      </c>
      <c r="D59" s="9" t="s">
        <v>57</v>
      </c>
      <c r="E59" s="21" t="s">
        <v>33</v>
      </c>
      <c r="F59" s="10">
        <v>45846</v>
      </c>
      <c r="G59" s="10">
        <v>45846</v>
      </c>
      <c r="H59" s="22">
        <v>80</v>
      </c>
      <c r="I59" s="23">
        <v>80</v>
      </c>
      <c r="J59" s="24"/>
      <c r="K59" s="14">
        <v>45848</v>
      </c>
      <c r="L59" s="22"/>
      <c r="M59" s="22"/>
      <c r="N59" s="15"/>
      <c r="O59" s="15"/>
      <c r="P59" s="15"/>
      <c r="Q59" s="15"/>
      <c r="R59" s="15"/>
      <c r="S59" s="15"/>
      <c r="T59" s="25" t="str">
        <f t="shared" ca="1" si="27"/>
        <v/>
      </c>
      <c r="U59" s="25" t="str">
        <f t="shared" ca="1" si="28"/>
        <v/>
      </c>
      <c r="V59" s="25"/>
      <c r="W59" s="26" t="s">
        <v>120</v>
      </c>
      <c r="X59" s="26" t="s">
        <v>121</v>
      </c>
      <c r="Y59" s="27"/>
      <c r="Z59" s="27"/>
      <c r="AA59" s="28"/>
      <c r="AD59" s="21" t="s">
        <v>35</v>
      </c>
      <c r="AE59" s="19" t="s">
        <v>36</v>
      </c>
    </row>
    <row r="60" spans="1:31" ht="14.4" x14ac:dyDescent="0.3">
      <c r="A60" s="21">
        <v>4745</v>
      </c>
      <c r="B60" s="7" t="s">
        <v>47</v>
      </c>
      <c r="C60" s="8">
        <v>99</v>
      </c>
      <c r="D60" s="9" t="s">
        <v>32</v>
      </c>
      <c r="E60" s="21" t="s">
        <v>33</v>
      </c>
      <c r="F60" s="10">
        <v>45859</v>
      </c>
      <c r="G60" s="10">
        <v>45865</v>
      </c>
      <c r="H60" s="22">
        <v>282</v>
      </c>
      <c r="I60" s="23">
        <v>352</v>
      </c>
      <c r="J60" s="24"/>
      <c r="K60" s="14">
        <v>45883</v>
      </c>
      <c r="L60" s="22"/>
      <c r="M60" s="22"/>
      <c r="N60" s="15"/>
      <c r="O60" s="15"/>
      <c r="P60" s="15"/>
      <c r="Q60" s="15"/>
      <c r="R60" s="15"/>
      <c r="S60" s="15"/>
      <c r="T60" s="25" t="str">
        <f t="shared" ca="1" si="27"/>
        <v/>
      </c>
      <c r="U60" s="25" t="str">
        <f t="shared" ca="1" si="28"/>
        <v/>
      </c>
      <c r="V60" s="21">
        <f>17</f>
        <v>17</v>
      </c>
      <c r="W60" s="26" t="s">
        <v>122</v>
      </c>
      <c r="X60" s="26" t="s">
        <v>123</v>
      </c>
      <c r="Y60" s="27"/>
      <c r="Z60" s="27"/>
      <c r="AA60" s="28"/>
      <c r="AD60" s="21" t="s">
        <v>35</v>
      </c>
      <c r="AE60" s="19" t="s">
        <v>36</v>
      </c>
    </row>
    <row r="61" spans="1:31" ht="14.4" x14ac:dyDescent="0.3">
      <c r="A61" s="21">
        <v>4903</v>
      </c>
      <c r="B61" s="37" t="s">
        <v>47</v>
      </c>
      <c r="C61" s="8">
        <v>99</v>
      </c>
      <c r="D61" s="9" t="s">
        <v>32</v>
      </c>
      <c r="E61" s="6" t="s">
        <v>33</v>
      </c>
      <c r="F61" s="38">
        <v>46006</v>
      </c>
      <c r="G61" s="38">
        <v>46012</v>
      </c>
      <c r="H61" s="22">
        <v>197</v>
      </c>
      <c r="I61" s="23">
        <v>227</v>
      </c>
      <c r="J61" s="24"/>
      <c r="K61" s="14">
        <v>46036</v>
      </c>
      <c r="L61" s="22"/>
      <c r="M61" s="22"/>
      <c r="N61" s="15"/>
      <c r="O61" s="15"/>
      <c r="P61" s="15"/>
      <c r="Q61" s="15"/>
      <c r="R61" s="15"/>
      <c r="S61" s="15"/>
      <c r="T61" s="25" t="str">
        <f t="shared" ca="1" si="27"/>
        <v/>
      </c>
      <c r="U61" s="25" t="str">
        <f t="shared" ca="1" si="28"/>
        <v/>
      </c>
      <c r="V61" s="25"/>
      <c r="W61" s="26" t="s">
        <v>124</v>
      </c>
      <c r="X61" s="26" t="s">
        <v>125</v>
      </c>
      <c r="Y61" s="27"/>
      <c r="Z61" s="27"/>
      <c r="AA61" s="28"/>
      <c r="AD61" s="21" t="s">
        <v>35</v>
      </c>
      <c r="AE61" s="19" t="s">
        <v>36</v>
      </c>
    </row>
    <row r="62" spans="1:31" ht="14.4" x14ac:dyDescent="0.3">
      <c r="A62" s="6">
        <v>4569</v>
      </c>
      <c r="B62" s="7" t="s">
        <v>126</v>
      </c>
      <c r="C62" s="8">
        <v>100</v>
      </c>
      <c r="D62" s="9" t="s">
        <v>76</v>
      </c>
      <c r="E62" s="6" t="s">
        <v>33</v>
      </c>
      <c r="F62" s="10">
        <v>45716</v>
      </c>
      <c r="G62" s="10">
        <v>45718</v>
      </c>
      <c r="H62" s="11">
        <v>19</v>
      </c>
      <c r="I62" s="12">
        <v>19</v>
      </c>
      <c r="J62" s="13"/>
      <c r="K62" s="36">
        <v>45723</v>
      </c>
      <c r="L62" s="11"/>
      <c r="M62" s="11"/>
      <c r="N62" s="15"/>
      <c r="O62" s="15"/>
      <c r="P62" s="15"/>
      <c r="Q62" s="15"/>
      <c r="R62" s="15"/>
      <c r="S62" s="15"/>
      <c r="T62" s="16" t="str">
        <f t="shared" ca="1" si="27"/>
        <v/>
      </c>
      <c r="U62" s="16" t="str">
        <f t="shared" ca="1" si="28"/>
        <v/>
      </c>
      <c r="V62" s="16"/>
      <c r="W62" s="16"/>
      <c r="X62" s="17" t="s">
        <v>34</v>
      </c>
      <c r="Y62" s="10"/>
      <c r="Z62" s="10"/>
      <c r="AA62" s="18"/>
      <c r="AD62" s="6" t="s">
        <v>35</v>
      </c>
      <c r="AE62" s="19" t="s">
        <v>36</v>
      </c>
    </row>
    <row r="63" spans="1:31" ht="14.4" x14ac:dyDescent="0.3">
      <c r="A63" s="21">
        <v>5057</v>
      </c>
      <c r="B63" s="26" t="s">
        <v>127</v>
      </c>
      <c r="C63" s="8">
        <v>109</v>
      </c>
      <c r="D63" s="9" t="s">
        <v>32</v>
      </c>
      <c r="E63" s="6" t="s">
        <v>77</v>
      </c>
      <c r="F63" s="27">
        <v>46062</v>
      </c>
      <c r="G63" s="27">
        <v>46075</v>
      </c>
      <c r="H63" s="29"/>
      <c r="I63" s="30"/>
      <c r="J63" s="21"/>
      <c r="K63" s="31">
        <v>46085</v>
      </c>
      <c r="L63" s="29"/>
      <c r="M63" s="29"/>
      <c r="N63" s="32">
        <v>46085</v>
      </c>
      <c r="O63" s="33"/>
      <c r="P63" s="33"/>
      <c r="Q63" s="34"/>
      <c r="R63" s="34" t="str">
        <f>IF(Q63,Q63-K63,"")</f>
        <v/>
      </c>
      <c r="S63" s="34" t="str">
        <f>IF(R63="","",IF(R63&lt;=4,"Excellent",IF(R63&lt;=8,"Good",IF(R63&lt;=15,"Average",IF(R63&lt;=30,"Poor",IF(R63&gt;=30,"Bad"))))))</f>
        <v/>
      </c>
      <c r="T63" s="29" t="str">
        <f ca="1">IF(U63="","",IF(U63&lt;=3,"Excellent",IF(U63&lt;=7,"Good",IF(U63&lt;=14,"Average",IF(U63&lt;=30,"Poor",IF(U63&gt;=30,"Bad"))))))</f>
        <v/>
      </c>
      <c r="U63" s="29" t="str">
        <f ca="1">IF(E63="Document", IF(#REF!="", "", TODAY() -#REF!), "")</f>
        <v/>
      </c>
      <c r="V63" s="29">
        <f>1</f>
        <v>1</v>
      </c>
      <c r="W63" s="16" t="s">
        <v>128</v>
      </c>
      <c r="X63" s="16"/>
      <c r="Y63" s="21"/>
      <c r="Z63" s="21"/>
      <c r="AD63" s="21" t="s">
        <v>35</v>
      </c>
      <c r="AE63" s="19" t="s">
        <v>36</v>
      </c>
    </row>
    <row r="64" spans="1:31" ht="14.4" x14ac:dyDescent="0.3">
      <c r="A64" s="21">
        <v>4754</v>
      </c>
      <c r="B64" s="7" t="s">
        <v>95</v>
      </c>
      <c r="C64" s="8">
        <v>112</v>
      </c>
      <c r="D64" s="9" t="s">
        <v>32</v>
      </c>
      <c r="E64" s="21" t="s">
        <v>33</v>
      </c>
      <c r="F64" s="10">
        <v>45867</v>
      </c>
      <c r="G64" s="10">
        <v>45875</v>
      </c>
      <c r="H64" s="22">
        <v>282</v>
      </c>
      <c r="I64" s="23">
        <v>342</v>
      </c>
      <c r="J64" s="24"/>
      <c r="K64" s="14">
        <v>45881</v>
      </c>
      <c r="L64" s="22"/>
      <c r="M64" s="22"/>
      <c r="N64" s="15"/>
      <c r="O64" s="15"/>
      <c r="P64" s="15"/>
      <c r="Q64" s="15"/>
      <c r="R64" s="15"/>
      <c r="S64" s="15"/>
      <c r="T64" s="25" t="str">
        <f ca="1">IF($U64="","",IF($U64&lt;=3,"Excellent",IF($U64&lt;=7,"Good",IF($U64&lt;=14,"Average",IF($U64&lt;=30,"Poor",IF($U64&gt;=30,"Bad"))))))</f>
        <v/>
      </c>
      <c r="U64" s="25" t="str">
        <f ca="1">IF(E64="Document", IF(G64="", "", TODAY() - G64), "")</f>
        <v/>
      </c>
      <c r="V64" s="21">
        <f>4</f>
        <v>4</v>
      </c>
      <c r="W64" s="26" t="s">
        <v>129</v>
      </c>
      <c r="X64" s="26" t="s">
        <v>59</v>
      </c>
      <c r="Y64" s="27"/>
      <c r="Z64" s="27"/>
      <c r="AA64" s="28"/>
      <c r="AD64" s="21" t="s">
        <v>35</v>
      </c>
      <c r="AE64" s="19" t="s">
        <v>36</v>
      </c>
    </row>
    <row r="65" spans="1:31" ht="14.4" x14ac:dyDescent="0.3">
      <c r="A65" s="21">
        <v>5112</v>
      </c>
      <c r="B65" s="26" t="s">
        <v>130</v>
      </c>
      <c r="C65" s="8">
        <v>119</v>
      </c>
      <c r="D65" s="9" t="s">
        <v>32</v>
      </c>
      <c r="E65" s="21" t="s">
        <v>62</v>
      </c>
      <c r="F65" s="27">
        <v>46111</v>
      </c>
      <c r="G65" s="27">
        <v>46124</v>
      </c>
      <c r="H65" s="29"/>
      <c r="I65" s="30"/>
      <c r="J65" s="21"/>
      <c r="K65" s="31"/>
      <c r="L65" s="29"/>
      <c r="M65" s="29"/>
      <c r="N65" s="32"/>
      <c r="O65" s="33"/>
      <c r="P65" s="33"/>
      <c r="Q65" s="34"/>
      <c r="R65" s="34" t="str">
        <f t="shared" ref="R65:R66" si="29">IF(Q65,Q65-K65,"")</f>
        <v/>
      </c>
      <c r="S65" s="34" t="str">
        <f t="shared" ref="S65:S66" si="30">IF(R65="","",IF(R65&lt;=4,"Excellent",IF(R65&lt;=8,"Good",IF(R65&lt;=15,"Average",IF(R65&lt;=30,"Poor",IF(R65&gt;=30,"Bad"))))))</f>
        <v/>
      </c>
      <c r="T65" s="29" t="str">
        <f t="shared" ref="T65:T66" ca="1" si="31">IF(U65="","",IF(U65&lt;=3,"Excellent",IF(U65&lt;=7,"Good",IF(U65&lt;=14,"Average",IF(U65&lt;=30,"Poor",IF(U65&gt;=30,"Bad"))))))</f>
        <v/>
      </c>
      <c r="U65" s="29" t="str">
        <f ca="1">IF(E65="Document", IF(#REF!="", "", TODAY() -#REF!), "")</f>
        <v/>
      </c>
      <c r="V65" s="29"/>
      <c r="W65" s="16"/>
      <c r="X65" s="16"/>
      <c r="Y65" s="21"/>
      <c r="Z65" s="21"/>
      <c r="AD65" s="21" t="s">
        <v>35</v>
      </c>
      <c r="AE65" s="19" t="s">
        <v>36</v>
      </c>
    </row>
    <row r="66" spans="1:31" ht="14.4" x14ac:dyDescent="0.3">
      <c r="A66" s="21">
        <v>5071</v>
      </c>
      <c r="B66" s="26" t="s">
        <v>131</v>
      </c>
      <c r="C66" s="8">
        <v>122</v>
      </c>
      <c r="D66" s="9" t="s">
        <v>32</v>
      </c>
      <c r="E66" s="59" t="s">
        <v>33</v>
      </c>
      <c r="F66" s="27">
        <v>46066</v>
      </c>
      <c r="G66" s="27">
        <v>46067</v>
      </c>
      <c r="H66" s="29">
        <v>10</v>
      </c>
      <c r="I66" s="30">
        <v>15</v>
      </c>
      <c r="J66" s="21"/>
      <c r="K66" s="31">
        <v>46071</v>
      </c>
      <c r="L66" s="29"/>
      <c r="M66" s="29"/>
      <c r="N66" s="32">
        <v>46071</v>
      </c>
      <c r="O66" s="33"/>
      <c r="P66" s="33"/>
      <c r="Q66" s="34"/>
      <c r="R66" s="34" t="str">
        <f t="shared" si="29"/>
        <v/>
      </c>
      <c r="S66" s="34" t="str">
        <f t="shared" si="30"/>
        <v/>
      </c>
      <c r="T66" s="29" t="str">
        <f t="shared" ca="1" si="31"/>
        <v/>
      </c>
      <c r="U66" s="29" t="str">
        <f ca="1">IF(E66="Document", IF(#REF!="", "", TODAY() -#REF!), "")</f>
        <v/>
      </c>
      <c r="V66" s="29"/>
      <c r="W66" s="16" t="s">
        <v>132</v>
      </c>
      <c r="X66" s="16" t="s">
        <v>133</v>
      </c>
      <c r="Y66" s="21"/>
      <c r="Z66" s="21"/>
      <c r="AD66" s="21" t="s">
        <v>35</v>
      </c>
      <c r="AE66" s="19" t="s">
        <v>36</v>
      </c>
    </row>
    <row r="67" spans="1:31" ht="14.4" x14ac:dyDescent="0.3">
      <c r="A67" s="21">
        <v>4722</v>
      </c>
      <c r="B67" s="20" t="s">
        <v>134</v>
      </c>
      <c r="C67" s="8">
        <v>122</v>
      </c>
      <c r="D67" s="9" t="s">
        <v>32</v>
      </c>
      <c r="E67" s="21" t="s">
        <v>33</v>
      </c>
      <c r="F67" s="10">
        <v>45845</v>
      </c>
      <c r="G67" s="10">
        <v>45846</v>
      </c>
      <c r="H67" s="22">
        <v>24</v>
      </c>
      <c r="I67" s="23">
        <v>24</v>
      </c>
      <c r="J67" s="24"/>
      <c r="K67" s="14">
        <v>45847</v>
      </c>
      <c r="L67" s="22"/>
      <c r="M67" s="22"/>
      <c r="N67" s="15"/>
      <c r="O67" s="15"/>
      <c r="P67" s="15"/>
      <c r="Q67" s="15"/>
      <c r="R67" s="15"/>
      <c r="S67" s="15"/>
      <c r="T67" s="25" t="str">
        <f t="shared" ref="T67:T68" ca="1" si="32">IF($U67="","",IF($U67&lt;=3,"Excellent",IF($U67&lt;=7,"Good",IF($U67&lt;=14,"Average",IF($U67&lt;=30,"Poor",IF($U67&gt;=30,"Bad"))))))</f>
        <v/>
      </c>
      <c r="U67" s="25" t="str">
        <f t="shared" ref="U67:U68" ca="1" si="33">IF(E67="Document", IF(G67="", "", TODAY() - G67), "")</f>
        <v/>
      </c>
      <c r="V67" s="25"/>
      <c r="W67" s="26" t="s">
        <v>39</v>
      </c>
      <c r="X67" s="26" t="s">
        <v>135</v>
      </c>
      <c r="Y67" s="27"/>
      <c r="Z67" s="27"/>
      <c r="AA67" s="28"/>
      <c r="AD67" s="21" t="s">
        <v>35</v>
      </c>
      <c r="AE67" s="19" t="s">
        <v>36</v>
      </c>
    </row>
    <row r="68" spans="1:31" ht="14.4" x14ac:dyDescent="0.3">
      <c r="A68" s="6">
        <v>4577</v>
      </c>
      <c r="B68" s="7" t="s">
        <v>84</v>
      </c>
      <c r="C68" s="8">
        <v>123</v>
      </c>
      <c r="D68" s="9" t="s">
        <v>38</v>
      </c>
      <c r="E68" s="6" t="s">
        <v>33</v>
      </c>
      <c r="F68" s="10">
        <v>45708</v>
      </c>
      <c r="G68" s="10">
        <v>45709</v>
      </c>
      <c r="H68" s="11">
        <v>105</v>
      </c>
      <c r="I68" s="12">
        <v>105</v>
      </c>
      <c r="J68" s="13"/>
      <c r="K68" s="36">
        <v>45712</v>
      </c>
      <c r="L68" s="11"/>
      <c r="M68" s="11"/>
      <c r="N68" s="15"/>
      <c r="O68" s="15"/>
      <c r="P68" s="15"/>
      <c r="Q68" s="15"/>
      <c r="R68" s="15"/>
      <c r="S68" s="15"/>
      <c r="T68" s="16" t="str">
        <f t="shared" ca="1" si="32"/>
        <v/>
      </c>
      <c r="U68" s="16" t="str">
        <f t="shared" ca="1" si="33"/>
        <v/>
      </c>
      <c r="V68" s="16"/>
      <c r="W68" s="16"/>
      <c r="X68" s="17" t="s">
        <v>34</v>
      </c>
      <c r="Y68" s="10"/>
      <c r="Z68" s="10"/>
      <c r="AA68" s="18"/>
      <c r="AD68" s="6" t="s">
        <v>35</v>
      </c>
      <c r="AE68" s="19" t="s">
        <v>36</v>
      </c>
    </row>
    <row r="69" spans="1:31" ht="14.4" x14ac:dyDescent="0.3">
      <c r="A69" s="21">
        <v>5062</v>
      </c>
      <c r="B69" s="26" t="s">
        <v>136</v>
      </c>
      <c r="C69" s="8">
        <v>124</v>
      </c>
      <c r="D69" s="9" t="s">
        <v>76</v>
      </c>
      <c r="E69" s="59" t="s">
        <v>33</v>
      </c>
      <c r="F69" s="27">
        <v>46062</v>
      </c>
      <c r="G69" s="27">
        <v>46065</v>
      </c>
      <c r="H69" s="29">
        <v>33</v>
      </c>
      <c r="I69" s="30">
        <v>33</v>
      </c>
      <c r="J69" s="21"/>
      <c r="K69" s="31">
        <v>46071</v>
      </c>
      <c r="L69" s="29"/>
      <c r="M69" s="29"/>
      <c r="N69" s="32">
        <v>46071</v>
      </c>
      <c r="O69" s="33"/>
      <c r="P69" s="33"/>
      <c r="Q69" s="34"/>
      <c r="R69" s="34" t="str">
        <f t="shared" ref="R69:R70" si="34">IF(Q69,Q69-K69,"")</f>
        <v/>
      </c>
      <c r="S69" s="34" t="str">
        <f t="shared" ref="S69:S70" si="35">IF(R69="","",IF(R69&lt;=4,"Excellent",IF(R69&lt;=8,"Good",IF(R69&lt;=15,"Average",IF(R69&lt;=30,"Poor",IF(R69&gt;=30,"Bad"))))))</f>
        <v/>
      </c>
      <c r="T69" s="29" t="str">
        <f t="shared" ref="T69:T70" ca="1" si="36">IF(U69="","",IF(U69&lt;=3,"Excellent",IF(U69&lt;=7,"Good",IF(U69&lt;=14,"Average",IF(U69&lt;=30,"Poor",IF(U69&gt;=30,"Bad"))))))</f>
        <v/>
      </c>
      <c r="U69" s="29" t="str">
        <f ca="1">IF(E69="Document", IF(#REF!="", "", TODAY() -#REF!), "")</f>
        <v/>
      </c>
      <c r="V69" s="29"/>
      <c r="W69" s="16" t="s">
        <v>137</v>
      </c>
      <c r="X69" s="16" t="s">
        <v>138</v>
      </c>
      <c r="Y69" s="21"/>
      <c r="Z69" s="21"/>
      <c r="AD69" s="21" t="s">
        <v>35</v>
      </c>
      <c r="AE69" s="19" t="s">
        <v>36</v>
      </c>
    </row>
    <row r="70" spans="1:31" ht="14.4" x14ac:dyDescent="0.3">
      <c r="A70" s="21">
        <v>5108</v>
      </c>
      <c r="B70" s="26" t="s">
        <v>139</v>
      </c>
      <c r="C70" s="8">
        <v>124</v>
      </c>
      <c r="D70" s="9" t="s">
        <v>57</v>
      </c>
      <c r="E70" s="6" t="s">
        <v>33</v>
      </c>
      <c r="F70" s="27">
        <v>46093</v>
      </c>
      <c r="G70" s="27">
        <v>46093</v>
      </c>
      <c r="H70" s="29">
        <v>10</v>
      </c>
      <c r="I70" s="30">
        <v>20</v>
      </c>
      <c r="J70" s="21"/>
      <c r="K70" s="31">
        <v>46097</v>
      </c>
      <c r="L70" s="29"/>
      <c r="M70" s="29"/>
      <c r="N70" s="32"/>
      <c r="O70" s="33"/>
      <c r="P70" s="33"/>
      <c r="Q70" s="34"/>
      <c r="R70" s="34" t="str">
        <f t="shared" si="34"/>
        <v/>
      </c>
      <c r="S70" s="34" t="str">
        <f t="shared" si="35"/>
        <v/>
      </c>
      <c r="T70" s="29" t="str">
        <f t="shared" ca="1" si="36"/>
        <v/>
      </c>
      <c r="U70" s="29" t="str">
        <f ca="1">IF(E70="Document", IF(#REF!="", "", TODAY() -#REF!), "")</f>
        <v/>
      </c>
      <c r="V70" s="29">
        <f>2</f>
        <v>2</v>
      </c>
      <c r="W70" s="16" t="s">
        <v>140</v>
      </c>
      <c r="X70" s="16" t="s">
        <v>141</v>
      </c>
      <c r="Y70" s="21"/>
      <c r="Z70" s="21"/>
      <c r="AD70" s="21" t="s">
        <v>35</v>
      </c>
      <c r="AE70" s="19" t="s">
        <v>36</v>
      </c>
    </row>
    <row r="71" spans="1:31" ht="14.4" x14ac:dyDescent="0.3">
      <c r="A71" s="6">
        <v>4674</v>
      </c>
      <c r="B71" s="7" t="s">
        <v>142</v>
      </c>
      <c r="C71" s="8">
        <v>124</v>
      </c>
      <c r="D71" s="9" t="s">
        <v>57</v>
      </c>
      <c r="E71" s="6" t="s">
        <v>33</v>
      </c>
      <c r="F71" s="10">
        <v>45800</v>
      </c>
      <c r="G71" s="10">
        <v>45800</v>
      </c>
      <c r="H71" s="11">
        <v>15</v>
      </c>
      <c r="I71" s="12">
        <v>15</v>
      </c>
      <c r="J71" s="13"/>
      <c r="K71" s="60">
        <v>45800</v>
      </c>
      <c r="L71" s="11"/>
      <c r="M71" s="11"/>
      <c r="N71" s="15"/>
      <c r="O71" s="15"/>
      <c r="P71" s="15"/>
      <c r="Q71" s="15"/>
      <c r="R71" s="15"/>
      <c r="S71" s="15"/>
      <c r="T71" s="16" t="str">
        <f t="shared" ref="T71:T73" ca="1" si="37">IF($U71="","",IF($U71&lt;=3,"Excellent",IF($U71&lt;=7,"Good",IF($U71&lt;=14,"Average",IF($U71&lt;=30,"Poor",IF($U71&gt;=30,"Bad"))))))</f>
        <v/>
      </c>
      <c r="U71" s="16" t="str">
        <f t="shared" ref="U71:U73" ca="1" si="38">IF(E71="Document", IF(G71="", "", TODAY() - G71), "")</f>
        <v/>
      </c>
      <c r="V71" s="16"/>
      <c r="W71" s="16"/>
      <c r="X71" s="17" t="s">
        <v>34</v>
      </c>
      <c r="Y71" s="10"/>
      <c r="Z71" s="10"/>
      <c r="AA71" s="18"/>
      <c r="AD71" s="6" t="s">
        <v>35</v>
      </c>
      <c r="AE71" s="19" t="s">
        <v>36</v>
      </c>
    </row>
    <row r="72" spans="1:31" ht="14.4" x14ac:dyDescent="0.3">
      <c r="A72" s="6">
        <v>4571</v>
      </c>
      <c r="B72" s="7" t="s">
        <v>143</v>
      </c>
      <c r="C72" s="8">
        <v>131</v>
      </c>
      <c r="D72" s="9" t="s">
        <v>76</v>
      </c>
      <c r="E72" s="6" t="s">
        <v>33</v>
      </c>
      <c r="F72" s="10">
        <v>45770</v>
      </c>
      <c r="G72" s="10">
        <v>45772</v>
      </c>
      <c r="H72" s="11">
        <v>19</v>
      </c>
      <c r="I72" s="12">
        <v>19</v>
      </c>
      <c r="J72" s="13"/>
      <c r="K72" s="61">
        <v>45772</v>
      </c>
      <c r="L72" s="11"/>
      <c r="M72" s="11"/>
      <c r="N72" s="15"/>
      <c r="O72" s="15"/>
      <c r="P72" s="15"/>
      <c r="Q72" s="15"/>
      <c r="R72" s="15"/>
      <c r="S72" s="15"/>
      <c r="T72" s="16" t="str">
        <f t="shared" ca="1" si="37"/>
        <v/>
      </c>
      <c r="U72" s="16" t="str">
        <f t="shared" ca="1" si="38"/>
        <v/>
      </c>
      <c r="V72" s="16"/>
      <c r="W72" s="16"/>
      <c r="X72" s="17" t="s">
        <v>34</v>
      </c>
      <c r="Y72" s="10"/>
      <c r="Z72" s="10"/>
      <c r="AA72" s="18"/>
      <c r="AD72" s="6" t="s">
        <v>35</v>
      </c>
      <c r="AE72" s="19" t="s">
        <v>36</v>
      </c>
    </row>
    <row r="73" spans="1:31" ht="14.4" x14ac:dyDescent="0.3">
      <c r="A73" s="21">
        <v>4756</v>
      </c>
      <c r="B73" s="7" t="s">
        <v>95</v>
      </c>
      <c r="C73" s="8">
        <v>135</v>
      </c>
      <c r="D73" s="9" t="s">
        <v>32</v>
      </c>
      <c r="E73" s="21" t="s">
        <v>33</v>
      </c>
      <c r="F73" s="10">
        <v>45860</v>
      </c>
      <c r="G73" s="10">
        <v>45866</v>
      </c>
      <c r="H73" s="22">
        <v>198</v>
      </c>
      <c r="I73" s="23">
        <v>198</v>
      </c>
      <c r="J73" s="24"/>
      <c r="K73" s="14">
        <v>45875</v>
      </c>
      <c r="L73" s="22"/>
      <c r="M73" s="22"/>
      <c r="N73" s="15"/>
      <c r="O73" s="15"/>
      <c r="P73" s="15"/>
      <c r="Q73" s="15"/>
      <c r="R73" s="15"/>
      <c r="S73" s="15"/>
      <c r="T73" s="25" t="str">
        <f t="shared" ca="1" si="37"/>
        <v/>
      </c>
      <c r="U73" s="25" t="str">
        <f t="shared" ca="1" si="38"/>
        <v/>
      </c>
      <c r="V73" s="21">
        <f>12</f>
        <v>12</v>
      </c>
      <c r="W73" s="26" t="s">
        <v>144</v>
      </c>
      <c r="X73" s="26" t="s">
        <v>44</v>
      </c>
      <c r="Y73" s="27"/>
      <c r="Z73" s="27"/>
      <c r="AA73" s="28"/>
      <c r="AD73" s="21" t="s">
        <v>35</v>
      </c>
      <c r="AE73" s="19" t="s">
        <v>36</v>
      </c>
    </row>
    <row r="74" spans="1:31" ht="14.4" x14ac:dyDescent="0.3">
      <c r="A74" s="21">
        <v>5115</v>
      </c>
      <c r="B74" s="26" t="s">
        <v>145</v>
      </c>
      <c r="C74" s="8">
        <v>139</v>
      </c>
      <c r="D74" s="9" t="s">
        <v>57</v>
      </c>
      <c r="E74" s="21" t="s">
        <v>33</v>
      </c>
      <c r="F74" s="27">
        <v>46113</v>
      </c>
      <c r="G74" s="27">
        <v>46113</v>
      </c>
      <c r="H74" s="29">
        <v>25</v>
      </c>
      <c r="I74" s="30">
        <v>40</v>
      </c>
      <c r="J74" s="21"/>
      <c r="K74" s="31">
        <v>46121</v>
      </c>
      <c r="L74" s="29"/>
      <c r="M74" s="29"/>
      <c r="N74" s="32">
        <v>46121</v>
      </c>
      <c r="O74" s="33"/>
      <c r="P74" s="33"/>
      <c r="Q74" s="34"/>
      <c r="R74" s="34" t="str">
        <f>IF(Q74,Q74-K74,"")</f>
        <v/>
      </c>
      <c r="S74" s="34" t="str">
        <f>IF(R74="","",IF(R74&lt;=4,"Excellent",IF(R74&lt;=8,"Good",IF(R74&lt;=15,"Average",IF(R74&lt;=30,"Poor",IF(R74&gt;=30,"Bad"))))))</f>
        <v/>
      </c>
      <c r="T74" s="29" t="str">
        <f ca="1">IF(U74="","",IF(U74&lt;=3,"Excellent",IF(U74&lt;=7,"Good",IF(U74&lt;=14,"Average",IF(U74&lt;=30,"Poor",IF(U74&gt;=30,"Bad"))))))</f>
        <v/>
      </c>
      <c r="U74" s="29" t="str">
        <f ca="1">IF(E74="Document", IF(#REF!="", "", TODAY() -#REF!), "")</f>
        <v/>
      </c>
      <c r="V74" s="29">
        <f>4</f>
        <v>4</v>
      </c>
      <c r="W74" s="16" t="s">
        <v>146</v>
      </c>
      <c r="X74" s="16" t="s">
        <v>147</v>
      </c>
      <c r="Y74" s="21"/>
      <c r="Z74" s="21"/>
      <c r="AD74" s="21" t="s">
        <v>35</v>
      </c>
      <c r="AE74" s="19" t="s">
        <v>36</v>
      </c>
    </row>
    <row r="75" spans="1:31" ht="14.4" x14ac:dyDescent="0.3">
      <c r="A75" s="6">
        <v>4457</v>
      </c>
      <c r="B75" s="7" t="s">
        <v>41</v>
      </c>
      <c r="C75" s="8">
        <v>139</v>
      </c>
      <c r="D75" s="9" t="s">
        <v>42</v>
      </c>
      <c r="E75" s="6" t="s">
        <v>33</v>
      </c>
      <c r="F75" s="10">
        <v>45721</v>
      </c>
      <c r="G75" s="10">
        <v>45737</v>
      </c>
      <c r="H75" s="11">
        <v>503</v>
      </c>
      <c r="I75" s="12">
        <v>533</v>
      </c>
      <c r="J75" s="13"/>
      <c r="K75" s="36">
        <v>45740</v>
      </c>
      <c r="L75" s="11"/>
      <c r="M75" s="11"/>
      <c r="N75" s="15"/>
      <c r="O75" s="15"/>
      <c r="P75" s="15"/>
      <c r="Q75" s="15"/>
      <c r="R75" s="15"/>
      <c r="S75" s="15"/>
      <c r="T75" s="16" t="str">
        <f t="shared" ref="T75:T81" ca="1" si="39">IF($U75="","",IF($U75&lt;=3,"Excellent",IF($U75&lt;=7,"Good",IF($U75&lt;=14,"Average",IF($U75&lt;=30,"Poor",IF($U75&gt;=30,"Bad"))))))</f>
        <v/>
      </c>
      <c r="U75" s="16" t="str">
        <f t="shared" ref="U75:U81" ca="1" si="40">IF(E75="Document", IF(G75="", "", TODAY() - G75), "")</f>
        <v/>
      </c>
      <c r="V75" s="16"/>
      <c r="W75" s="16"/>
      <c r="X75" s="17" t="s">
        <v>34</v>
      </c>
      <c r="Y75" s="10"/>
      <c r="Z75" s="10"/>
      <c r="AA75" s="18"/>
      <c r="AD75" s="6" t="s">
        <v>35</v>
      </c>
      <c r="AE75" s="19" t="s">
        <v>36</v>
      </c>
    </row>
    <row r="76" spans="1:31" ht="14.4" x14ac:dyDescent="0.3">
      <c r="A76" s="6">
        <v>4457</v>
      </c>
      <c r="B76" s="7" t="s">
        <v>41</v>
      </c>
      <c r="C76" s="8">
        <v>139</v>
      </c>
      <c r="D76" s="9" t="s">
        <v>42</v>
      </c>
      <c r="E76" s="6" t="s">
        <v>33</v>
      </c>
      <c r="F76" s="10">
        <v>45721</v>
      </c>
      <c r="G76" s="10">
        <v>45737</v>
      </c>
      <c r="H76" s="11">
        <v>503</v>
      </c>
      <c r="I76" s="12">
        <v>533</v>
      </c>
      <c r="J76" s="13"/>
      <c r="K76" s="36">
        <v>45740</v>
      </c>
      <c r="L76" s="11"/>
      <c r="M76" s="11"/>
      <c r="N76" s="15"/>
      <c r="O76" s="15"/>
      <c r="P76" s="15"/>
      <c r="Q76" s="15"/>
      <c r="R76" s="15"/>
      <c r="S76" s="15"/>
      <c r="T76" s="16" t="str">
        <f t="shared" ca="1" si="39"/>
        <v/>
      </c>
      <c r="U76" s="16" t="str">
        <f t="shared" ca="1" si="40"/>
        <v/>
      </c>
      <c r="V76" s="16"/>
      <c r="W76" s="16"/>
      <c r="X76" s="17" t="s">
        <v>34</v>
      </c>
      <c r="Y76" s="10"/>
      <c r="Z76" s="10"/>
      <c r="AA76" s="18"/>
      <c r="AD76" s="6" t="s">
        <v>35</v>
      </c>
      <c r="AE76" s="19" t="s">
        <v>36</v>
      </c>
    </row>
    <row r="77" spans="1:31" ht="14.4" x14ac:dyDescent="0.3">
      <c r="A77" s="6">
        <v>4457</v>
      </c>
      <c r="B77" s="7" t="s">
        <v>41</v>
      </c>
      <c r="C77" s="8">
        <v>139</v>
      </c>
      <c r="D77" s="9" t="s">
        <v>42</v>
      </c>
      <c r="E77" s="6" t="s">
        <v>33</v>
      </c>
      <c r="F77" s="10">
        <v>45721</v>
      </c>
      <c r="G77" s="10">
        <v>45737</v>
      </c>
      <c r="H77" s="11">
        <v>503</v>
      </c>
      <c r="I77" s="12">
        <v>533</v>
      </c>
      <c r="J77" s="13"/>
      <c r="K77" s="36">
        <v>45740</v>
      </c>
      <c r="L77" s="11"/>
      <c r="M77" s="11"/>
      <c r="N77" s="15"/>
      <c r="O77" s="15"/>
      <c r="P77" s="15"/>
      <c r="Q77" s="15"/>
      <c r="R77" s="15"/>
      <c r="S77" s="15"/>
      <c r="T77" s="16" t="str">
        <f t="shared" ca="1" si="39"/>
        <v/>
      </c>
      <c r="U77" s="16" t="str">
        <f t="shared" ca="1" si="40"/>
        <v/>
      </c>
      <c r="V77" s="16"/>
      <c r="W77" s="16"/>
      <c r="X77" s="17" t="s">
        <v>34</v>
      </c>
      <c r="Y77" s="10"/>
      <c r="Z77" s="10"/>
      <c r="AA77" s="18"/>
      <c r="AD77" s="6" t="s">
        <v>35</v>
      </c>
      <c r="AE77" s="19" t="s">
        <v>36</v>
      </c>
    </row>
    <row r="78" spans="1:31" ht="14.4" x14ac:dyDescent="0.3">
      <c r="A78" s="6">
        <v>4457</v>
      </c>
      <c r="B78" s="7" t="s">
        <v>41</v>
      </c>
      <c r="C78" s="8">
        <v>139</v>
      </c>
      <c r="D78" s="9" t="s">
        <v>42</v>
      </c>
      <c r="E78" s="6" t="s">
        <v>33</v>
      </c>
      <c r="F78" s="10">
        <v>45721</v>
      </c>
      <c r="G78" s="10">
        <v>45737</v>
      </c>
      <c r="H78" s="11">
        <v>503</v>
      </c>
      <c r="I78" s="12">
        <v>533</v>
      </c>
      <c r="J78" s="13"/>
      <c r="K78" s="36">
        <v>45740</v>
      </c>
      <c r="L78" s="11"/>
      <c r="M78" s="11"/>
      <c r="N78" s="15"/>
      <c r="O78" s="15"/>
      <c r="P78" s="15"/>
      <c r="Q78" s="15"/>
      <c r="R78" s="15"/>
      <c r="S78" s="15"/>
      <c r="T78" s="16" t="str">
        <f t="shared" ca="1" si="39"/>
        <v/>
      </c>
      <c r="U78" s="16" t="str">
        <f t="shared" ca="1" si="40"/>
        <v/>
      </c>
      <c r="V78" s="16"/>
      <c r="W78" s="16"/>
      <c r="X78" s="17" t="s">
        <v>34</v>
      </c>
      <c r="Y78" s="10"/>
      <c r="Z78" s="10"/>
      <c r="AA78" s="18"/>
      <c r="AD78" s="6" t="s">
        <v>35</v>
      </c>
      <c r="AE78" s="19" t="s">
        <v>36</v>
      </c>
    </row>
    <row r="79" spans="1:31" ht="14.4" x14ac:dyDescent="0.3">
      <c r="A79" s="21">
        <v>4908</v>
      </c>
      <c r="B79" s="37" t="s">
        <v>148</v>
      </c>
      <c r="C79" s="8">
        <v>139</v>
      </c>
      <c r="D79" s="9" t="s">
        <v>32</v>
      </c>
      <c r="E79" s="21" t="s">
        <v>77</v>
      </c>
      <c r="F79" s="42">
        <v>45980</v>
      </c>
      <c r="G79" s="42">
        <v>45982</v>
      </c>
      <c r="H79" s="25"/>
      <c r="I79" s="39"/>
      <c r="J79" s="40"/>
      <c r="K79" s="14">
        <v>45982</v>
      </c>
      <c r="L79" s="22"/>
      <c r="M79" s="22"/>
      <c r="N79" s="15"/>
      <c r="O79" s="15"/>
      <c r="P79" s="15"/>
      <c r="Q79" s="15"/>
      <c r="R79" s="15"/>
      <c r="S79" s="15"/>
      <c r="T79" s="25" t="str">
        <f t="shared" ca="1" si="39"/>
        <v/>
      </c>
      <c r="U79" s="25" t="str">
        <f t="shared" ca="1" si="40"/>
        <v/>
      </c>
      <c r="V79" s="25"/>
      <c r="W79" s="26" t="s">
        <v>149</v>
      </c>
      <c r="X79" s="25"/>
      <c r="Y79" s="27"/>
      <c r="Z79" s="27"/>
      <c r="AA79" s="28"/>
      <c r="AD79" s="21" t="s">
        <v>35</v>
      </c>
      <c r="AE79" s="19" t="s">
        <v>36</v>
      </c>
    </row>
    <row r="80" spans="1:31" ht="14.4" x14ac:dyDescent="0.3">
      <c r="A80" s="6">
        <v>4630</v>
      </c>
      <c r="B80" s="7" t="s">
        <v>47</v>
      </c>
      <c r="C80" s="8">
        <v>151</v>
      </c>
      <c r="D80" s="9" t="s">
        <v>32</v>
      </c>
      <c r="E80" s="6" t="s">
        <v>33</v>
      </c>
      <c r="F80" s="10">
        <v>45775</v>
      </c>
      <c r="G80" s="10">
        <v>45781</v>
      </c>
      <c r="H80" s="11">
        <v>294</v>
      </c>
      <c r="I80" s="12">
        <v>294</v>
      </c>
      <c r="J80" s="13"/>
      <c r="K80" s="14">
        <v>45781</v>
      </c>
      <c r="L80" s="11"/>
      <c r="M80" s="11"/>
      <c r="N80" s="15"/>
      <c r="O80" s="15"/>
      <c r="P80" s="15"/>
      <c r="Q80" s="15"/>
      <c r="R80" s="15"/>
      <c r="S80" s="15"/>
      <c r="T80" s="16" t="str">
        <f t="shared" ca="1" si="39"/>
        <v/>
      </c>
      <c r="U80" s="16" t="str">
        <f t="shared" ca="1" si="40"/>
        <v/>
      </c>
      <c r="V80" s="16"/>
      <c r="W80" s="16"/>
      <c r="X80" s="17" t="s">
        <v>34</v>
      </c>
      <c r="Y80" s="10"/>
      <c r="Z80" s="10"/>
      <c r="AA80" s="18"/>
      <c r="AD80" s="6" t="s">
        <v>35</v>
      </c>
      <c r="AE80" s="19" t="s">
        <v>36</v>
      </c>
    </row>
    <row r="81" spans="1:31" ht="14.4" x14ac:dyDescent="0.3">
      <c r="A81" s="21">
        <v>4954</v>
      </c>
      <c r="B81" s="37" t="s">
        <v>37</v>
      </c>
      <c r="C81" s="8">
        <v>151</v>
      </c>
      <c r="D81" s="9" t="s">
        <v>38</v>
      </c>
      <c r="E81" s="6" t="s">
        <v>33</v>
      </c>
      <c r="F81" s="38">
        <v>46006</v>
      </c>
      <c r="G81" s="38">
        <v>46019</v>
      </c>
      <c r="H81" s="22">
        <v>330</v>
      </c>
      <c r="I81" s="23">
        <v>345</v>
      </c>
      <c r="J81" s="24"/>
      <c r="K81" s="14">
        <v>46021</v>
      </c>
      <c r="L81" s="22"/>
      <c r="M81" s="22"/>
      <c r="N81" s="15"/>
      <c r="O81" s="15"/>
      <c r="P81" s="15"/>
      <c r="Q81" s="15"/>
      <c r="R81" s="15"/>
      <c r="S81" s="15"/>
      <c r="T81" s="25" t="str">
        <f t="shared" ca="1" si="39"/>
        <v/>
      </c>
      <c r="U81" s="25" t="str">
        <f t="shared" ca="1" si="40"/>
        <v/>
      </c>
      <c r="V81" s="25"/>
      <c r="W81" s="26" t="s">
        <v>150</v>
      </c>
      <c r="X81" s="26" t="s">
        <v>151</v>
      </c>
      <c r="Y81" s="27"/>
      <c r="Z81" s="27"/>
      <c r="AA81" s="28"/>
      <c r="AD81" s="21" t="s">
        <v>35</v>
      </c>
      <c r="AE81" s="19" t="s">
        <v>36</v>
      </c>
    </row>
    <row r="82" spans="1:31" ht="14.4" x14ac:dyDescent="0.3">
      <c r="A82" s="8">
        <v>5010</v>
      </c>
      <c r="B82" s="43" t="s">
        <v>41</v>
      </c>
      <c r="C82" s="8">
        <v>155</v>
      </c>
      <c r="D82" s="44" t="s">
        <v>42</v>
      </c>
      <c r="E82" s="62" t="s">
        <v>33</v>
      </c>
      <c r="F82" s="45">
        <v>46041</v>
      </c>
      <c r="G82" s="45">
        <v>46065</v>
      </c>
      <c r="H82" s="46">
        <v>426</v>
      </c>
      <c r="I82" s="47">
        <v>472</v>
      </c>
      <c r="J82" s="8"/>
      <c r="K82" s="48">
        <v>46065</v>
      </c>
      <c r="L82" s="46"/>
      <c r="M82" s="46"/>
      <c r="N82" s="49">
        <v>46069</v>
      </c>
      <c r="O82" s="50"/>
      <c r="P82" s="50"/>
      <c r="Q82" s="51"/>
      <c r="R82" s="51" t="str">
        <f t="shared" ref="R82:R86" si="41">IF(Q82,Q82-K82,"")</f>
        <v/>
      </c>
      <c r="S82" s="51" t="str">
        <f t="shared" ref="S82:S86" si="42">IF(R82="","",IF(R82&lt;=4,"Excellent",IF(R82&lt;=8,"Good",IF(R82&lt;=15,"Average",IF(R82&lt;=30,"Poor",IF(R82&gt;=30,"Bad"))))))</f>
        <v/>
      </c>
      <c r="T82" s="46" t="str">
        <f t="shared" ref="T82:T86" ca="1" si="43">IF(U82="","",IF(U82&lt;=3,"Excellent",IF(U82&lt;=7,"Good",IF(U82&lt;=14,"Average",IF(U82&lt;=30,"Poor",IF(U82&gt;=30,"Bad"))))))</f>
        <v/>
      </c>
      <c r="U82" s="6" t="str">
        <f ca="1">IF(E82="Document", IF(#REF!="", "", TODAY() -#REF!), "")</f>
        <v/>
      </c>
      <c r="V82" s="6"/>
      <c r="W82" s="17" t="s">
        <v>152</v>
      </c>
      <c r="X82" s="17" t="s">
        <v>153</v>
      </c>
      <c r="Y82" s="8"/>
      <c r="Z82" s="8"/>
      <c r="AD82" s="8" t="s">
        <v>35</v>
      </c>
      <c r="AE82" s="19" t="s">
        <v>36</v>
      </c>
    </row>
    <row r="83" spans="1:31" ht="14.4" x14ac:dyDescent="0.3">
      <c r="A83" s="8">
        <v>5010</v>
      </c>
      <c r="B83" s="43" t="s">
        <v>41</v>
      </c>
      <c r="C83" s="8">
        <v>155</v>
      </c>
      <c r="D83" s="44" t="s">
        <v>42</v>
      </c>
      <c r="E83" s="62" t="s">
        <v>33</v>
      </c>
      <c r="F83" s="45">
        <v>46041</v>
      </c>
      <c r="G83" s="45">
        <v>46065</v>
      </c>
      <c r="H83" s="46">
        <v>426</v>
      </c>
      <c r="I83" s="47">
        <v>472</v>
      </c>
      <c r="J83" s="8"/>
      <c r="K83" s="48">
        <v>46065</v>
      </c>
      <c r="L83" s="46"/>
      <c r="M83" s="46"/>
      <c r="N83" s="49">
        <v>46069</v>
      </c>
      <c r="O83" s="50"/>
      <c r="P83" s="50"/>
      <c r="Q83" s="51"/>
      <c r="R83" s="51" t="str">
        <f t="shared" si="41"/>
        <v/>
      </c>
      <c r="S83" s="51" t="str">
        <f t="shared" si="42"/>
        <v/>
      </c>
      <c r="T83" s="46" t="str">
        <f t="shared" ca="1" si="43"/>
        <v/>
      </c>
      <c r="U83" s="6" t="str">
        <f ca="1">IF(E83="Document", IF(#REF!="", "", TODAY() -#REF!), "")</f>
        <v/>
      </c>
      <c r="V83" s="6"/>
      <c r="W83" s="17" t="s">
        <v>152</v>
      </c>
      <c r="X83" s="17" t="s">
        <v>153</v>
      </c>
      <c r="Y83" s="8"/>
      <c r="Z83" s="8"/>
      <c r="AD83" s="8" t="s">
        <v>35</v>
      </c>
      <c r="AE83" s="19" t="s">
        <v>36</v>
      </c>
    </row>
    <row r="84" spans="1:31" ht="14.4" x14ac:dyDescent="0.3">
      <c r="A84" s="21">
        <v>5019</v>
      </c>
      <c r="B84" s="26" t="s">
        <v>111</v>
      </c>
      <c r="C84" s="8">
        <v>158</v>
      </c>
      <c r="D84" s="9" t="s">
        <v>76</v>
      </c>
      <c r="E84" s="6" t="s">
        <v>33</v>
      </c>
      <c r="F84" s="27">
        <v>46031</v>
      </c>
      <c r="G84" s="27">
        <v>46031</v>
      </c>
      <c r="H84" s="29">
        <v>27</v>
      </c>
      <c r="I84" s="30">
        <v>27</v>
      </c>
      <c r="J84" s="21"/>
      <c r="K84" s="31">
        <v>46041</v>
      </c>
      <c r="L84" s="29"/>
      <c r="M84" s="29"/>
      <c r="N84" s="32">
        <v>46041</v>
      </c>
      <c r="O84" s="33"/>
      <c r="P84" s="33"/>
      <c r="Q84" s="34"/>
      <c r="R84" s="34" t="str">
        <f t="shared" si="41"/>
        <v/>
      </c>
      <c r="S84" s="34" t="str">
        <f t="shared" si="42"/>
        <v/>
      </c>
      <c r="T84" s="29" t="str">
        <f t="shared" ca="1" si="43"/>
        <v/>
      </c>
      <c r="U84" s="29" t="str">
        <f ca="1">IF(E84="Document", IF(#REF!="", "", TODAY() -#REF!), "")</f>
        <v/>
      </c>
      <c r="V84" s="29">
        <f>3</f>
        <v>3</v>
      </c>
      <c r="W84" s="16" t="s">
        <v>140</v>
      </c>
      <c r="X84" s="16" t="s">
        <v>114</v>
      </c>
      <c r="Y84" s="21"/>
      <c r="Z84" s="21"/>
      <c r="AD84" s="21" t="s">
        <v>35</v>
      </c>
      <c r="AE84" s="19" t="s">
        <v>36</v>
      </c>
    </row>
    <row r="85" spans="1:31" ht="14.4" x14ac:dyDescent="0.3">
      <c r="A85" s="21">
        <v>5061</v>
      </c>
      <c r="B85" s="26" t="s">
        <v>154</v>
      </c>
      <c r="C85" s="8">
        <v>167</v>
      </c>
      <c r="D85" s="9" t="s">
        <v>32</v>
      </c>
      <c r="E85" s="59" t="s">
        <v>46</v>
      </c>
      <c r="F85" s="27">
        <v>46069</v>
      </c>
      <c r="G85" s="27">
        <v>46075</v>
      </c>
      <c r="H85" s="29"/>
      <c r="I85" s="30"/>
      <c r="J85" s="21"/>
      <c r="K85" s="31"/>
      <c r="L85" s="29"/>
      <c r="M85" s="29"/>
      <c r="N85" s="32"/>
      <c r="O85" s="33"/>
      <c r="P85" s="33"/>
      <c r="Q85" s="34"/>
      <c r="R85" s="34" t="str">
        <f t="shared" si="41"/>
        <v/>
      </c>
      <c r="S85" s="34" t="str">
        <f t="shared" si="42"/>
        <v/>
      </c>
      <c r="T85" s="29" t="str">
        <f t="shared" ca="1" si="43"/>
        <v>Bad</v>
      </c>
      <c r="U85" s="21">
        <f t="shared" ref="U85" ca="1" si="44">IF(E85="Document", IF(G85="", "", TODAY() - G85), "")</f>
        <v>60</v>
      </c>
      <c r="V85" s="29">
        <f>40</f>
        <v>40</v>
      </c>
      <c r="W85" s="16"/>
      <c r="X85" s="16"/>
      <c r="Y85" s="21"/>
      <c r="Z85" s="21"/>
      <c r="AD85" s="21" t="s">
        <v>35</v>
      </c>
      <c r="AE85" s="19" t="s">
        <v>36</v>
      </c>
    </row>
    <row r="86" spans="1:31" ht="14.4" x14ac:dyDescent="0.3">
      <c r="A86" s="21">
        <v>5081</v>
      </c>
      <c r="B86" s="26" t="s">
        <v>155</v>
      </c>
      <c r="C86" s="8">
        <v>167</v>
      </c>
      <c r="D86" s="9" t="s">
        <v>76</v>
      </c>
      <c r="E86" s="59" t="s">
        <v>62</v>
      </c>
      <c r="F86" s="27">
        <v>46072</v>
      </c>
      <c r="G86" s="27">
        <v>46073</v>
      </c>
      <c r="H86" s="29"/>
      <c r="I86" s="30"/>
      <c r="J86" s="21"/>
      <c r="K86" s="31"/>
      <c r="L86" s="29"/>
      <c r="M86" s="29"/>
      <c r="N86" s="32"/>
      <c r="O86" s="33"/>
      <c r="P86" s="33"/>
      <c r="Q86" s="34"/>
      <c r="R86" s="34" t="str">
        <f t="shared" si="41"/>
        <v/>
      </c>
      <c r="S86" s="34" t="str">
        <f t="shared" si="42"/>
        <v/>
      </c>
      <c r="T86" s="29" t="str">
        <f t="shared" ca="1" si="43"/>
        <v/>
      </c>
      <c r="U86" s="29" t="str">
        <f ca="1">IF(E86="Document", IF(#REF!="", "", TODAY() -#REF!), "")</f>
        <v/>
      </c>
      <c r="V86" s="29"/>
      <c r="W86" s="16"/>
      <c r="X86" s="16"/>
      <c r="Y86" s="21"/>
      <c r="Z86" s="21"/>
      <c r="AD86" s="21" t="s">
        <v>35</v>
      </c>
      <c r="AE86" s="19" t="s">
        <v>36</v>
      </c>
    </row>
    <row r="87" spans="1:31" ht="14.4" x14ac:dyDescent="0.3">
      <c r="A87" s="6">
        <v>4508</v>
      </c>
      <c r="B87" s="7" t="s">
        <v>47</v>
      </c>
      <c r="C87" s="8">
        <v>167</v>
      </c>
      <c r="D87" s="9" t="s">
        <v>32</v>
      </c>
      <c r="E87" s="6" t="s">
        <v>46</v>
      </c>
      <c r="F87" s="10">
        <v>45670</v>
      </c>
      <c r="G87" s="10">
        <v>45676</v>
      </c>
      <c r="H87" s="16"/>
      <c r="I87" s="53"/>
      <c r="J87" s="54"/>
      <c r="K87" s="41"/>
      <c r="L87" s="11"/>
      <c r="M87" s="11"/>
      <c r="N87" s="15"/>
      <c r="O87" s="15"/>
      <c r="P87" s="15"/>
      <c r="Q87" s="15"/>
      <c r="R87" s="15"/>
      <c r="S87" s="15"/>
      <c r="T87" s="11" t="str">
        <f t="shared" ref="T87:T91" ca="1" si="45">IF($U87="","",IF($U87&lt;=3,"Excellent",IF($U87&lt;=7,"Good",IF($U87&lt;=14,"Average",IF($U87&lt;=30,"Poor",IF($U87&gt;=30,"Bad"))))))</f>
        <v>Bad</v>
      </c>
      <c r="U87" s="6">
        <f t="shared" ref="U87:U91" ca="1" si="46">IF(E87="Document", IF(G87="", "", TODAY() - G87), "")</f>
        <v>459</v>
      </c>
      <c r="V87" s="6">
        <f t="shared" ref="V87:V88" si="47">109</f>
        <v>109</v>
      </c>
      <c r="W87" s="16"/>
      <c r="X87" s="16"/>
      <c r="Y87" s="10"/>
      <c r="Z87" s="10"/>
      <c r="AA87" s="18"/>
      <c r="AD87" s="6" t="s">
        <v>35</v>
      </c>
      <c r="AE87" s="19" t="s">
        <v>36</v>
      </c>
    </row>
    <row r="88" spans="1:31" ht="14.4" x14ac:dyDescent="0.3">
      <c r="A88" s="6">
        <v>4535</v>
      </c>
      <c r="B88" s="7" t="s">
        <v>156</v>
      </c>
      <c r="C88" s="8">
        <v>167</v>
      </c>
      <c r="D88" s="9" t="s">
        <v>32</v>
      </c>
      <c r="E88" s="6" t="s">
        <v>46</v>
      </c>
      <c r="F88" s="10">
        <v>45684</v>
      </c>
      <c r="G88" s="10">
        <v>45690</v>
      </c>
      <c r="H88" s="16"/>
      <c r="I88" s="53"/>
      <c r="J88" s="54"/>
      <c r="K88" s="41"/>
      <c r="L88" s="11"/>
      <c r="M88" s="11"/>
      <c r="N88" s="15"/>
      <c r="O88" s="15"/>
      <c r="P88" s="15"/>
      <c r="Q88" s="15"/>
      <c r="R88" s="15"/>
      <c r="S88" s="15"/>
      <c r="T88" s="11" t="str">
        <f t="shared" ca="1" si="45"/>
        <v>Bad</v>
      </c>
      <c r="U88" s="6">
        <f t="shared" ca="1" si="46"/>
        <v>445</v>
      </c>
      <c r="V88" s="6">
        <f t="shared" si="47"/>
        <v>109</v>
      </c>
      <c r="W88" s="16"/>
      <c r="X88" s="16"/>
      <c r="Y88" s="10"/>
      <c r="Z88" s="10"/>
      <c r="AA88" s="18"/>
      <c r="AD88" s="6" t="s">
        <v>35</v>
      </c>
      <c r="AE88" s="19" t="s">
        <v>36</v>
      </c>
    </row>
    <row r="89" spans="1:31" ht="14.4" x14ac:dyDescent="0.3">
      <c r="A89" s="21">
        <v>4796</v>
      </c>
      <c r="B89" s="55" t="s">
        <v>157</v>
      </c>
      <c r="C89" s="8">
        <v>167</v>
      </c>
      <c r="D89" s="9" t="s">
        <v>32</v>
      </c>
      <c r="E89" s="21" t="s">
        <v>46</v>
      </c>
      <c r="F89" s="10">
        <v>45887</v>
      </c>
      <c r="G89" s="10">
        <v>45900</v>
      </c>
      <c r="H89" s="25"/>
      <c r="I89" s="39"/>
      <c r="J89" s="40"/>
      <c r="K89" s="41"/>
      <c r="L89" s="22"/>
      <c r="M89" s="22"/>
      <c r="N89" s="15"/>
      <c r="O89" s="15"/>
      <c r="P89" s="15"/>
      <c r="Q89" s="15"/>
      <c r="R89" s="15"/>
      <c r="S89" s="15"/>
      <c r="T89" s="22" t="str">
        <f t="shared" ca="1" si="45"/>
        <v>Bad</v>
      </c>
      <c r="U89" s="21">
        <f t="shared" ca="1" si="46"/>
        <v>235</v>
      </c>
      <c r="V89" s="21">
        <f>48</f>
        <v>48</v>
      </c>
      <c r="W89" s="25"/>
      <c r="X89" s="25"/>
      <c r="Y89" s="27"/>
      <c r="Z89" s="27"/>
      <c r="AA89" s="28"/>
      <c r="AD89" s="21" t="s">
        <v>35</v>
      </c>
      <c r="AE89" s="19" t="s">
        <v>36</v>
      </c>
    </row>
    <row r="90" spans="1:31" ht="14.4" x14ac:dyDescent="0.3">
      <c r="A90" s="21">
        <v>4710</v>
      </c>
      <c r="B90" s="20" t="s">
        <v>95</v>
      </c>
      <c r="C90" s="8">
        <v>168</v>
      </c>
      <c r="D90" s="9" t="s">
        <v>32</v>
      </c>
      <c r="E90" s="21" t="s">
        <v>33</v>
      </c>
      <c r="F90" s="10">
        <v>45839</v>
      </c>
      <c r="G90" s="10">
        <v>45844</v>
      </c>
      <c r="H90" s="22">
        <v>198</v>
      </c>
      <c r="I90" s="23">
        <v>213</v>
      </c>
      <c r="J90" s="24"/>
      <c r="K90" s="14">
        <v>45856</v>
      </c>
      <c r="L90" s="22"/>
      <c r="M90" s="22"/>
      <c r="N90" s="15"/>
      <c r="O90" s="15"/>
      <c r="P90" s="15"/>
      <c r="Q90" s="15"/>
      <c r="R90" s="15"/>
      <c r="S90" s="15"/>
      <c r="T90" s="25" t="str">
        <f t="shared" ca="1" si="45"/>
        <v/>
      </c>
      <c r="U90" s="25" t="str">
        <f t="shared" ca="1" si="46"/>
        <v/>
      </c>
      <c r="V90" s="21">
        <f>10</f>
        <v>10</v>
      </c>
      <c r="W90" s="26" t="s">
        <v>158</v>
      </c>
      <c r="X90" s="26" t="s">
        <v>159</v>
      </c>
      <c r="Y90" s="27"/>
      <c r="Z90" s="27"/>
      <c r="AA90" s="28"/>
      <c r="AD90" s="21" t="s">
        <v>35</v>
      </c>
      <c r="AE90" s="19" t="s">
        <v>36</v>
      </c>
    </row>
    <row r="91" spans="1:31" ht="14.4" x14ac:dyDescent="0.3">
      <c r="A91" s="21">
        <v>4738</v>
      </c>
      <c r="B91" s="7" t="s">
        <v>95</v>
      </c>
      <c r="C91" s="8">
        <v>170</v>
      </c>
      <c r="D91" s="9" t="s">
        <v>32</v>
      </c>
      <c r="E91" s="21" t="s">
        <v>33</v>
      </c>
      <c r="F91" s="10">
        <v>45853</v>
      </c>
      <c r="G91" s="63">
        <v>45859</v>
      </c>
      <c r="H91" s="22">
        <v>213</v>
      </c>
      <c r="I91" s="23">
        <v>213</v>
      </c>
      <c r="J91" s="24"/>
      <c r="K91" s="14">
        <v>45862</v>
      </c>
      <c r="L91" s="22"/>
      <c r="M91" s="22"/>
      <c r="N91" s="15"/>
      <c r="O91" s="15"/>
      <c r="P91" s="15"/>
      <c r="Q91" s="15"/>
      <c r="R91" s="15"/>
      <c r="S91" s="15"/>
      <c r="T91" s="25" t="str">
        <f t="shared" ca="1" si="45"/>
        <v/>
      </c>
      <c r="U91" s="25" t="str">
        <f t="shared" ca="1" si="46"/>
        <v/>
      </c>
      <c r="V91" s="21">
        <f>8</f>
        <v>8</v>
      </c>
      <c r="W91" s="26" t="s">
        <v>160</v>
      </c>
      <c r="X91" s="26" t="s">
        <v>161</v>
      </c>
      <c r="Y91" s="27"/>
      <c r="Z91" s="27"/>
      <c r="AA91" s="28"/>
      <c r="AD91" s="21" t="s">
        <v>35</v>
      </c>
      <c r="AE91" s="19" t="s">
        <v>36</v>
      </c>
    </row>
    <row r="92" spans="1:31" ht="14.4" x14ac:dyDescent="0.3">
      <c r="A92" s="62">
        <v>4964</v>
      </c>
      <c r="B92" s="43" t="s">
        <v>47</v>
      </c>
      <c r="C92" s="8">
        <v>171</v>
      </c>
      <c r="D92" s="44" t="s">
        <v>32</v>
      </c>
      <c r="E92" s="8" t="s">
        <v>33</v>
      </c>
      <c r="F92" s="45">
        <v>46027</v>
      </c>
      <c r="G92" s="45">
        <v>46033</v>
      </c>
      <c r="H92" s="46">
        <v>213</v>
      </c>
      <c r="I92" s="47">
        <v>273</v>
      </c>
      <c r="J92" s="8"/>
      <c r="K92" s="48">
        <v>46098</v>
      </c>
      <c r="L92" s="46"/>
      <c r="M92" s="46"/>
      <c r="N92" s="49">
        <v>46098</v>
      </c>
      <c r="O92" s="50"/>
      <c r="P92" s="50"/>
      <c r="Q92" s="51"/>
      <c r="R92" s="51" t="str">
        <f>IF(Q92,Q92-K92,"")</f>
        <v/>
      </c>
      <c r="S92" s="51" t="str">
        <f>IF(R92="","",IF(R92&lt;=4,"Excellent",IF(R92&lt;=8,"Good",IF(R92&lt;=15,"Average",IF(R92&lt;=30,"Poor",IF(R92&gt;=30,"Bad"))))))</f>
        <v/>
      </c>
      <c r="T92" s="46" t="str">
        <f ca="1">IF(U92="","",IF(U92&lt;=3,"Excellent",IF(U92&lt;=7,"Good",IF(U92&lt;=14,"Average",IF(U92&lt;=30,"Poor",IF(U92&gt;=30,"Bad"))))))</f>
        <v/>
      </c>
      <c r="U92" s="6" t="str">
        <f ca="1">IF(E92="Document", IF(#REF!="", "", TODAY() -#REF!), "")</f>
        <v/>
      </c>
      <c r="V92" s="6">
        <f>18</f>
        <v>18</v>
      </c>
      <c r="W92" s="17" t="s">
        <v>162</v>
      </c>
      <c r="X92" s="17" t="s">
        <v>141</v>
      </c>
      <c r="Y92" s="8"/>
      <c r="Z92" s="8"/>
      <c r="AD92" s="8" t="s">
        <v>35</v>
      </c>
      <c r="AE92" s="19" t="s">
        <v>36</v>
      </c>
    </row>
    <row r="93" spans="1:31" ht="14.4" x14ac:dyDescent="0.3">
      <c r="A93" s="6">
        <v>4692</v>
      </c>
      <c r="B93" s="7" t="s">
        <v>95</v>
      </c>
      <c r="C93" s="8">
        <v>171</v>
      </c>
      <c r="D93" s="9" t="s">
        <v>32</v>
      </c>
      <c r="E93" s="6" t="s">
        <v>33</v>
      </c>
      <c r="F93" s="10">
        <v>45824</v>
      </c>
      <c r="G93" s="10">
        <v>45830</v>
      </c>
      <c r="H93" s="11">
        <v>256</v>
      </c>
      <c r="I93" s="12">
        <v>256</v>
      </c>
      <c r="J93" s="13"/>
      <c r="K93" s="14">
        <v>45831</v>
      </c>
      <c r="L93" s="11"/>
      <c r="M93" s="11"/>
      <c r="N93" s="15"/>
      <c r="O93" s="15"/>
      <c r="P93" s="15"/>
      <c r="Q93" s="15"/>
      <c r="R93" s="15"/>
      <c r="S93" s="15"/>
      <c r="T93" s="16" t="str">
        <f ca="1">IF($U93="","",IF($U93&lt;=3,"Excellent",IF($U93&lt;=7,"Good",IF($U93&lt;=14,"Average",IF($U93&lt;=30,"Poor",IF($U93&gt;=30,"Bad"))))))</f>
        <v/>
      </c>
      <c r="U93" s="16" t="str">
        <f ca="1">IF(E93="Document", IF(G93="", "", TODAY() - G93), "")</f>
        <v/>
      </c>
      <c r="V93" s="16"/>
      <c r="W93" s="16"/>
      <c r="X93" s="17" t="s">
        <v>34</v>
      </c>
      <c r="Y93" s="10"/>
      <c r="Z93" s="10"/>
      <c r="AA93" s="18"/>
      <c r="AD93" s="6" t="s">
        <v>55</v>
      </c>
      <c r="AE93" s="19" t="s">
        <v>36</v>
      </c>
    </row>
    <row r="94" spans="1:31" ht="14.4" x14ac:dyDescent="0.3">
      <c r="A94" s="21">
        <v>5020</v>
      </c>
      <c r="B94" s="26" t="s">
        <v>111</v>
      </c>
      <c r="C94" s="8">
        <v>173</v>
      </c>
      <c r="D94" s="9" t="s">
        <v>76</v>
      </c>
      <c r="E94" s="6" t="s">
        <v>33</v>
      </c>
      <c r="F94" s="27">
        <v>46035</v>
      </c>
      <c r="G94" s="27">
        <v>46035</v>
      </c>
      <c r="H94" s="29">
        <v>27</v>
      </c>
      <c r="I94" s="30">
        <v>27</v>
      </c>
      <c r="J94" s="21"/>
      <c r="K94" s="31">
        <v>46041</v>
      </c>
      <c r="L94" s="29"/>
      <c r="M94" s="29"/>
      <c r="N94" s="32">
        <v>46041</v>
      </c>
      <c r="O94" s="33"/>
      <c r="P94" s="33"/>
      <c r="Q94" s="34"/>
      <c r="R94" s="34" t="str">
        <f>IF(Q94,Q94-K94,"")</f>
        <v/>
      </c>
      <c r="S94" s="34" t="str">
        <f>IF(R94="","",IF(R94&lt;=4,"Excellent",IF(R94&lt;=8,"Good",IF(R94&lt;=15,"Average",IF(R94&lt;=30,"Poor",IF(R94&gt;=30,"Bad"))))))</f>
        <v/>
      </c>
      <c r="T94" s="29" t="str">
        <f ca="1">IF(U94="","",IF(U94&lt;=3,"Excellent",IF(U94&lt;=7,"Good",IF(U94&lt;=14,"Average",IF(U94&lt;=30,"Poor",IF(U94&gt;=30,"Bad"))))))</f>
        <v/>
      </c>
      <c r="U94" s="29" t="str">
        <f ca="1">IF(E94="Document", IF(#REF!="", "", TODAY() -#REF!), "")</f>
        <v/>
      </c>
      <c r="V94" s="29">
        <f>3</f>
        <v>3</v>
      </c>
      <c r="W94" s="16" t="s">
        <v>140</v>
      </c>
      <c r="X94" s="16" t="s">
        <v>114</v>
      </c>
      <c r="Y94" s="21"/>
      <c r="Z94" s="21"/>
      <c r="AD94" s="21" t="s">
        <v>35</v>
      </c>
      <c r="AE94" s="19" t="s">
        <v>36</v>
      </c>
    </row>
    <row r="95" spans="1:31" ht="14.4" x14ac:dyDescent="0.3">
      <c r="A95" s="21">
        <v>4862</v>
      </c>
      <c r="B95" s="7" t="s">
        <v>163</v>
      </c>
      <c r="C95" s="8">
        <v>173</v>
      </c>
      <c r="D95" s="9" t="s">
        <v>76</v>
      </c>
      <c r="E95" s="21" t="s">
        <v>33</v>
      </c>
      <c r="F95" s="64">
        <v>45919</v>
      </c>
      <c r="G95" s="64">
        <v>45919</v>
      </c>
      <c r="H95" s="22">
        <v>27</v>
      </c>
      <c r="I95" s="23">
        <v>27</v>
      </c>
      <c r="J95" s="24"/>
      <c r="K95" s="14">
        <v>45919</v>
      </c>
      <c r="L95" s="22"/>
      <c r="M95" s="22"/>
      <c r="N95" s="15"/>
      <c r="O95" s="15"/>
      <c r="P95" s="15"/>
      <c r="Q95" s="15"/>
      <c r="R95" s="15"/>
      <c r="S95" s="15"/>
      <c r="T95" s="25" t="str">
        <f t="shared" ref="T95:T99" ca="1" si="48">IF($U95="","",IF($U95&lt;=3,"Excellent",IF($U95&lt;=7,"Good",IF($U95&lt;=14,"Average",IF($U95&lt;=30,"Poor",IF($U95&gt;=30,"Bad"))))))</f>
        <v/>
      </c>
      <c r="U95" s="25" t="str">
        <f t="shared" ref="U95:U99" ca="1" si="49">IF(E95="Document", IF(G95="", "", TODAY() - G95), "")</f>
        <v/>
      </c>
      <c r="V95" s="21">
        <f>1</f>
        <v>1</v>
      </c>
      <c r="W95" s="25"/>
      <c r="X95" s="26" t="s">
        <v>164</v>
      </c>
      <c r="Y95" s="27"/>
      <c r="Z95" s="27"/>
      <c r="AA95" s="28"/>
      <c r="AD95" s="21" t="s">
        <v>35</v>
      </c>
      <c r="AE95" s="19" t="s">
        <v>36</v>
      </c>
    </row>
    <row r="96" spans="1:31" ht="14.4" x14ac:dyDescent="0.3">
      <c r="A96" s="21">
        <v>4906</v>
      </c>
      <c r="B96" s="37" t="s">
        <v>47</v>
      </c>
      <c r="C96" s="8">
        <v>173</v>
      </c>
      <c r="D96" s="9" t="s">
        <v>32</v>
      </c>
      <c r="E96" s="21" t="s">
        <v>77</v>
      </c>
      <c r="F96" s="38">
        <v>45999</v>
      </c>
      <c r="G96" s="38">
        <v>46005</v>
      </c>
      <c r="H96" s="25"/>
      <c r="I96" s="39"/>
      <c r="J96" s="40"/>
      <c r="K96" s="14">
        <v>46007</v>
      </c>
      <c r="L96" s="22"/>
      <c r="M96" s="22"/>
      <c r="N96" s="15"/>
      <c r="O96" s="15"/>
      <c r="P96" s="15"/>
      <c r="Q96" s="15"/>
      <c r="R96" s="15"/>
      <c r="S96" s="15"/>
      <c r="T96" s="25" t="str">
        <f t="shared" ca="1" si="48"/>
        <v/>
      </c>
      <c r="U96" s="25" t="str">
        <f t="shared" ca="1" si="49"/>
        <v/>
      </c>
      <c r="V96" s="25"/>
      <c r="W96" s="26" t="s">
        <v>165</v>
      </c>
      <c r="X96" s="25"/>
      <c r="Y96" s="27"/>
      <c r="Z96" s="27"/>
      <c r="AA96" s="28"/>
      <c r="AD96" s="21" t="s">
        <v>35</v>
      </c>
      <c r="AE96" s="19" t="s">
        <v>36</v>
      </c>
    </row>
    <row r="97" spans="1:31" ht="14.4" x14ac:dyDescent="0.3">
      <c r="A97" s="21">
        <v>4740</v>
      </c>
      <c r="B97" s="7" t="s">
        <v>47</v>
      </c>
      <c r="C97" s="8">
        <v>175</v>
      </c>
      <c r="D97" s="9" t="s">
        <v>32</v>
      </c>
      <c r="E97" s="21" t="s">
        <v>33</v>
      </c>
      <c r="F97" s="10">
        <v>45860</v>
      </c>
      <c r="G97" s="10">
        <v>45873</v>
      </c>
      <c r="H97" s="22">
        <v>345</v>
      </c>
      <c r="I97" s="23">
        <v>345</v>
      </c>
      <c r="J97" s="24"/>
      <c r="K97" s="14">
        <v>45874</v>
      </c>
      <c r="L97" s="22"/>
      <c r="M97" s="22"/>
      <c r="N97" s="15"/>
      <c r="O97" s="15"/>
      <c r="P97" s="15"/>
      <c r="Q97" s="15"/>
      <c r="R97" s="15"/>
      <c r="S97" s="15"/>
      <c r="T97" s="25" t="str">
        <f t="shared" ca="1" si="48"/>
        <v/>
      </c>
      <c r="U97" s="25" t="str">
        <f t="shared" ca="1" si="49"/>
        <v/>
      </c>
      <c r="V97" s="25"/>
      <c r="W97" s="26" t="s">
        <v>166</v>
      </c>
      <c r="X97" s="26" t="s">
        <v>44</v>
      </c>
      <c r="Y97" s="27"/>
      <c r="Z97" s="27"/>
      <c r="AA97" s="28"/>
      <c r="AD97" s="21" t="s">
        <v>35</v>
      </c>
      <c r="AE97" s="19" t="s">
        <v>36</v>
      </c>
    </row>
    <row r="98" spans="1:31" ht="14.4" x14ac:dyDescent="0.3">
      <c r="A98" s="21">
        <v>4858</v>
      </c>
      <c r="B98" s="37" t="s">
        <v>47</v>
      </c>
      <c r="C98" s="8">
        <v>176</v>
      </c>
      <c r="D98" s="9" t="s">
        <v>32</v>
      </c>
      <c r="E98" s="21" t="s">
        <v>33</v>
      </c>
      <c r="F98" s="42">
        <v>45936</v>
      </c>
      <c r="G98" s="42">
        <v>45949</v>
      </c>
      <c r="H98" s="22">
        <v>217</v>
      </c>
      <c r="I98" s="23">
        <v>217</v>
      </c>
      <c r="J98" s="24"/>
      <c r="K98" s="14">
        <v>45949</v>
      </c>
      <c r="L98" s="22"/>
      <c r="M98" s="22"/>
      <c r="N98" s="15"/>
      <c r="O98" s="15"/>
      <c r="P98" s="15"/>
      <c r="Q98" s="15"/>
      <c r="R98" s="15"/>
      <c r="S98" s="15"/>
      <c r="T98" s="25" t="str">
        <f t="shared" ca="1" si="48"/>
        <v/>
      </c>
      <c r="U98" s="25" t="str">
        <f t="shared" ca="1" si="49"/>
        <v/>
      </c>
      <c r="V98" s="25"/>
      <c r="W98" s="26" t="s">
        <v>67</v>
      </c>
      <c r="X98" s="26" t="s">
        <v>59</v>
      </c>
      <c r="Y98" s="27"/>
      <c r="Z98" s="27"/>
      <c r="AA98" s="28"/>
      <c r="AD98" s="21" t="s">
        <v>35</v>
      </c>
      <c r="AE98" s="19" t="s">
        <v>36</v>
      </c>
    </row>
    <row r="99" spans="1:31" ht="14.4" x14ac:dyDescent="0.3">
      <c r="A99" s="6">
        <v>4570</v>
      </c>
      <c r="B99" s="7" t="s">
        <v>126</v>
      </c>
      <c r="C99" s="8">
        <v>178</v>
      </c>
      <c r="D99" s="9" t="s">
        <v>76</v>
      </c>
      <c r="E99" s="6" t="s">
        <v>33</v>
      </c>
      <c r="F99" s="10">
        <v>45754</v>
      </c>
      <c r="G99" s="10">
        <v>45756</v>
      </c>
      <c r="H99" s="11">
        <v>22</v>
      </c>
      <c r="I99" s="12">
        <v>22</v>
      </c>
      <c r="J99" s="13"/>
      <c r="K99" s="14">
        <v>45756</v>
      </c>
      <c r="L99" s="11"/>
      <c r="M99" s="11"/>
      <c r="N99" s="15"/>
      <c r="O99" s="15"/>
      <c r="P99" s="15"/>
      <c r="Q99" s="15"/>
      <c r="R99" s="15"/>
      <c r="S99" s="15"/>
      <c r="T99" s="16" t="str">
        <f t="shared" ca="1" si="48"/>
        <v/>
      </c>
      <c r="U99" s="16" t="str">
        <f t="shared" ca="1" si="49"/>
        <v/>
      </c>
      <c r="V99" s="16"/>
      <c r="W99" s="17" t="s">
        <v>106</v>
      </c>
      <c r="X99" s="17" t="s">
        <v>167</v>
      </c>
      <c r="Y99" s="10"/>
      <c r="Z99" s="10"/>
      <c r="AA99" s="18"/>
      <c r="AD99" s="6" t="s">
        <v>35</v>
      </c>
      <c r="AE99" s="19" t="s">
        <v>36</v>
      </c>
    </row>
    <row r="100" spans="1:31" ht="14.4" x14ac:dyDescent="0.3">
      <c r="A100" s="21">
        <v>5037</v>
      </c>
      <c r="B100" s="26" t="s">
        <v>168</v>
      </c>
      <c r="C100" s="8">
        <v>181</v>
      </c>
      <c r="D100" s="9" t="s">
        <v>32</v>
      </c>
      <c r="E100" s="6" t="s">
        <v>77</v>
      </c>
      <c r="F100" s="27">
        <v>46055</v>
      </c>
      <c r="G100" s="27">
        <v>46061</v>
      </c>
      <c r="H100" s="29"/>
      <c r="I100" s="30"/>
      <c r="J100" s="21"/>
      <c r="K100" s="31">
        <v>46062</v>
      </c>
      <c r="L100" s="29"/>
      <c r="M100" s="29"/>
      <c r="N100" s="32">
        <v>46062</v>
      </c>
      <c r="O100" s="33"/>
      <c r="P100" s="33"/>
      <c r="Q100" s="34"/>
      <c r="R100" s="34" t="str">
        <f>IF(Q100,Q100-K100,"")</f>
        <v/>
      </c>
      <c r="S100" s="34" t="str">
        <f>IF(R100="","",IF(R100&lt;=4,"Excellent",IF(R100&lt;=8,"Good",IF(R100&lt;=15,"Average",IF(R100&lt;=30,"Poor",IF(R100&gt;=30,"Bad"))))))</f>
        <v/>
      </c>
      <c r="T100" s="29" t="str">
        <f ca="1">IF(U100="","",IF(U100&lt;=3,"Excellent",IF(U100&lt;=7,"Good",IF(U100&lt;=14,"Average",IF(U100&lt;=30,"Poor",IF(U100&gt;=30,"Bad"))))))</f>
        <v/>
      </c>
      <c r="U100" s="29" t="str">
        <f ca="1">IF(E100="Document", IF(#REF!="", "", TODAY() -#REF!), "")</f>
        <v/>
      </c>
      <c r="V100" s="29"/>
      <c r="W100" s="16" t="s">
        <v>128</v>
      </c>
      <c r="X100" s="16"/>
      <c r="Y100" s="21"/>
      <c r="Z100" s="21"/>
      <c r="AD100" s="21" t="s">
        <v>35</v>
      </c>
      <c r="AE100" s="19" t="s">
        <v>36</v>
      </c>
    </row>
    <row r="101" spans="1:31" ht="14.4" x14ac:dyDescent="0.3">
      <c r="A101" s="6">
        <v>4634</v>
      </c>
      <c r="B101" s="7" t="s">
        <v>84</v>
      </c>
      <c r="C101" s="8">
        <v>181</v>
      </c>
      <c r="D101" s="9" t="s">
        <v>38</v>
      </c>
      <c r="E101" s="6" t="s">
        <v>33</v>
      </c>
      <c r="F101" s="10">
        <v>45782</v>
      </c>
      <c r="G101" s="10">
        <v>45791</v>
      </c>
      <c r="H101" s="11">
        <v>310</v>
      </c>
      <c r="I101" s="12">
        <v>310</v>
      </c>
      <c r="J101" s="13"/>
      <c r="K101" s="14">
        <v>45791</v>
      </c>
      <c r="L101" s="11"/>
      <c r="M101" s="11"/>
      <c r="N101" s="15"/>
      <c r="O101" s="15"/>
      <c r="P101" s="15"/>
      <c r="Q101" s="15"/>
      <c r="R101" s="15"/>
      <c r="S101" s="15"/>
      <c r="T101" s="16" t="str">
        <f t="shared" ref="T101:T103" ca="1" si="50">IF($U101="","",IF($U101&lt;=3,"Excellent",IF($U101&lt;=7,"Good",IF($U101&lt;=14,"Average",IF($U101&lt;=30,"Poor",IF($U101&gt;=30,"Bad"))))))</f>
        <v/>
      </c>
      <c r="U101" s="16" t="str">
        <f t="shared" ref="U101:U104" ca="1" si="51">IF(E101="Document", IF(G101="", "", TODAY() - G101), "")</f>
        <v/>
      </c>
      <c r="V101" s="16"/>
      <c r="W101" s="16"/>
      <c r="X101" s="17" t="s">
        <v>34</v>
      </c>
      <c r="Y101" s="10"/>
      <c r="Z101" s="10"/>
      <c r="AA101" s="18"/>
      <c r="AD101" s="6" t="s">
        <v>35</v>
      </c>
      <c r="AE101" s="19" t="s">
        <v>36</v>
      </c>
    </row>
    <row r="102" spans="1:31" ht="14.4" x14ac:dyDescent="0.3">
      <c r="A102" s="21">
        <v>4927</v>
      </c>
      <c r="B102" s="37" t="s">
        <v>169</v>
      </c>
      <c r="C102" s="8">
        <v>181</v>
      </c>
      <c r="D102" s="9" t="s">
        <v>57</v>
      </c>
      <c r="E102" s="21" t="s">
        <v>77</v>
      </c>
      <c r="F102" s="42">
        <v>45971</v>
      </c>
      <c r="G102" s="42">
        <v>45971</v>
      </c>
      <c r="H102" s="25"/>
      <c r="I102" s="39"/>
      <c r="J102" s="40"/>
      <c r="K102" s="14">
        <v>45972</v>
      </c>
      <c r="L102" s="22"/>
      <c r="M102" s="22"/>
      <c r="N102" s="15"/>
      <c r="O102" s="15"/>
      <c r="P102" s="15"/>
      <c r="Q102" s="15"/>
      <c r="R102" s="15"/>
      <c r="S102" s="15"/>
      <c r="T102" s="25" t="str">
        <f t="shared" ca="1" si="50"/>
        <v/>
      </c>
      <c r="U102" s="25" t="str">
        <f t="shared" ca="1" si="51"/>
        <v/>
      </c>
      <c r="V102" s="25"/>
      <c r="W102" s="26" t="s">
        <v>170</v>
      </c>
      <c r="X102" s="25"/>
      <c r="Y102" s="27"/>
      <c r="Z102" s="27"/>
      <c r="AA102" s="28"/>
      <c r="AD102" s="21" t="s">
        <v>35</v>
      </c>
      <c r="AE102" s="19" t="s">
        <v>36</v>
      </c>
    </row>
    <row r="103" spans="1:31" ht="14.4" x14ac:dyDescent="0.3">
      <c r="A103" s="21">
        <v>4836</v>
      </c>
      <c r="B103" s="7" t="s">
        <v>37</v>
      </c>
      <c r="C103" s="8">
        <v>182</v>
      </c>
      <c r="D103" s="9" t="s">
        <v>32</v>
      </c>
      <c r="E103" s="21" t="s">
        <v>33</v>
      </c>
      <c r="F103" s="10">
        <v>45922</v>
      </c>
      <c r="G103" s="10">
        <v>45926</v>
      </c>
      <c r="H103" s="22">
        <v>233</v>
      </c>
      <c r="I103" s="23">
        <v>253</v>
      </c>
      <c r="J103" s="24"/>
      <c r="K103" s="14">
        <v>45926</v>
      </c>
      <c r="L103" s="22"/>
      <c r="M103" s="22"/>
      <c r="N103" s="15"/>
      <c r="O103" s="15"/>
      <c r="P103" s="15"/>
      <c r="Q103" s="15"/>
      <c r="R103" s="15"/>
      <c r="S103" s="15"/>
      <c r="T103" s="25" t="str">
        <f t="shared" ca="1" si="50"/>
        <v/>
      </c>
      <c r="U103" s="25" t="str">
        <f t="shared" ca="1" si="51"/>
        <v/>
      </c>
      <c r="V103" s="25"/>
      <c r="W103" s="26" t="s">
        <v>171</v>
      </c>
      <c r="X103" s="26" t="s">
        <v>67</v>
      </c>
      <c r="Y103" s="27"/>
      <c r="Z103" s="27"/>
      <c r="AA103" s="28"/>
      <c r="AD103" s="21" t="s">
        <v>35</v>
      </c>
      <c r="AE103" s="19" t="s">
        <v>36</v>
      </c>
    </row>
    <row r="104" spans="1:31" ht="14.4" x14ac:dyDescent="0.3">
      <c r="A104" s="21">
        <v>5058</v>
      </c>
      <c r="B104" s="26" t="s">
        <v>47</v>
      </c>
      <c r="C104" s="8">
        <v>186</v>
      </c>
      <c r="D104" s="9" t="s">
        <v>38</v>
      </c>
      <c r="E104" s="59" t="s">
        <v>46</v>
      </c>
      <c r="F104" s="27">
        <v>46061</v>
      </c>
      <c r="G104" s="27">
        <v>46075</v>
      </c>
      <c r="H104" s="29"/>
      <c r="I104" s="30"/>
      <c r="J104" s="21"/>
      <c r="K104" s="31"/>
      <c r="L104" s="29"/>
      <c r="M104" s="29"/>
      <c r="N104" s="32"/>
      <c r="O104" s="33"/>
      <c r="P104" s="33"/>
      <c r="Q104" s="34"/>
      <c r="R104" s="34" t="str">
        <f>IF(Q104,Q104-K104,"")</f>
        <v/>
      </c>
      <c r="S104" s="34" t="str">
        <f>IF(R104="","",IF(R104&lt;=4,"Excellent",IF(R104&lt;=8,"Good",IF(R104&lt;=15,"Average",IF(R104&lt;=30,"Poor",IF(R104&gt;=30,"Bad"))))))</f>
        <v/>
      </c>
      <c r="T104" s="29" t="str">
        <f ca="1">IF(U104="","",IF(U104&lt;=3,"Excellent",IF(U104&lt;=7,"Good",IF(U104&lt;=14,"Average",IF(U104&lt;=30,"Poor",IF(U104&gt;=30,"Bad"))))))</f>
        <v>Bad</v>
      </c>
      <c r="U104" s="21">
        <f t="shared" ca="1" si="51"/>
        <v>60</v>
      </c>
      <c r="V104" s="29">
        <f>40</f>
        <v>40</v>
      </c>
      <c r="W104" s="16"/>
      <c r="X104" s="16"/>
      <c r="Y104" s="21"/>
      <c r="Z104" s="21"/>
      <c r="AD104" s="21" t="s">
        <v>35</v>
      </c>
      <c r="AE104" s="19" t="s">
        <v>36</v>
      </c>
    </row>
    <row r="105" spans="1:31" ht="14.4" x14ac:dyDescent="0.3">
      <c r="A105" s="6">
        <v>4530</v>
      </c>
      <c r="B105" s="7" t="s">
        <v>47</v>
      </c>
      <c r="C105" s="8">
        <v>186</v>
      </c>
      <c r="D105" s="9" t="s">
        <v>32</v>
      </c>
      <c r="E105" s="6" t="s">
        <v>33</v>
      </c>
      <c r="F105" s="10">
        <v>45698</v>
      </c>
      <c r="G105" s="10">
        <v>45704</v>
      </c>
      <c r="H105" s="11">
        <v>173</v>
      </c>
      <c r="I105" s="12">
        <v>213</v>
      </c>
      <c r="J105" s="13"/>
      <c r="K105" s="36">
        <v>45707</v>
      </c>
      <c r="L105" s="11"/>
      <c r="M105" s="11"/>
      <c r="N105" s="15"/>
      <c r="O105" s="15"/>
      <c r="P105" s="15"/>
      <c r="Q105" s="15"/>
      <c r="R105" s="15"/>
      <c r="S105" s="15"/>
      <c r="T105" s="16" t="str">
        <f t="shared" ref="T105:T108" ca="1" si="52">IF($U105="","",IF($U105&lt;=3,"Excellent",IF($U105&lt;=7,"Good",IF($U105&lt;=14,"Average",IF($U105&lt;=30,"Poor",IF($U105&gt;=30,"Bad"))))))</f>
        <v/>
      </c>
      <c r="U105" s="16" t="str">
        <f t="shared" ref="U105:U109" ca="1" si="53">IF(E105="Document", IF(G105="", "", TODAY() - G105), "")</f>
        <v/>
      </c>
      <c r="V105" s="16"/>
      <c r="W105" s="16"/>
      <c r="X105" s="17" t="s">
        <v>34</v>
      </c>
      <c r="Y105" s="10"/>
      <c r="Z105" s="10"/>
      <c r="AA105" s="18"/>
      <c r="AD105" s="6" t="s">
        <v>35</v>
      </c>
      <c r="AE105" s="19" t="s">
        <v>36</v>
      </c>
    </row>
    <row r="106" spans="1:31" ht="14.4" x14ac:dyDescent="0.3">
      <c r="A106" s="6">
        <v>4219</v>
      </c>
      <c r="B106" s="7" t="s">
        <v>156</v>
      </c>
      <c r="C106" s="8">
        <v>186</v>
      </c>
      <c r="D106" s="9" t="s">
        <v>32</v>
      </c>
      <c r="E106" s="6" t="s">
        <v>33</v>
      </c>
      <c r="F106" s="10">
        <v>45726</v>
      </c>
      <c r="G106" s="10">
        <v>45737</v>
      </c>
      <c r="H106" s="11">
        <v>173</v>
      </c>
      <c r="I106" s="12">
        <v>213</v>
      </c>
      <c r="J106" s="13"/>
      <c r="K106" s="36">
        <v>45741</v>
      </c>
      <c r="L106" s="11"/>
      <c r="M106" s="11"/>
      <c r="N106" s="15"/>
      <c r="O106" s="15"/>
      <c r="P106" s="15"/>
      <c r="Q106" s="15"/>
      <c r="R106" s="15"/>
      <c r="S106" s="15"/>
      <c r="T106" s="16" t="str">
        <f t="shared" ca="1" si="52"/>
        <v/>
      </c>
      <c r="U106" s="16" t="str">
        <f t="shared" ca="1" si="53"/>
        <v/>
      </c>
      <c r="V106" s="16"/>
      <c r="W106" s="16"/>
      <c r="X106" s="17" t="s">
        <v>34</v>
      </c>
      <c r="Y106" s="10"/>
      <c r="Z106" s="10"/>
      <c r="AA106" s="18"/>
      <c r="AD106" s="6" t="s">
        <v>35</v>
      </c>
      <c r="AE106" s="19" t="s">
        <v>36</v>
      </c>
    </row>
    <row r="107" spans="1:31" ht="14.4" x14ac:dyDescent="0.3">
      <c r="A107" s="21">
        <v>4809</v>
      </c>
      <c r="B107" s="55" t="s">
        <v>47</v>
      </c>
      <c r="C107" s="8">
        <v>187</v>
      </c>
      <c r="D107" s="9" t="s">
        <v>32</v>
      </c>
      <c r="E107" s="21" t="s">
        <v>46</v>
      </c>
      <c r="F107" s="10">
        <v>45902</v>
      </c>
      <c r="G107" s="10">
        <v>45911</v>
      </c>
      <c r="H107" s="25"/>
      <c r="I107" s="39"/>
      <c r="J107" s="40"/>
      <c r="K107" s="41"/>
      <c r="L107" s="22"/>
      <c r="M107" s="22"/>
      <c r="N107" s="15"/>
      <c r="O107" s="15"/>
      <c r="P107" s="15"/>
      <c r="Q107" s="15"/>
      <c r="R107" s="15"/>
      <c r="S107" s="15"/>
      <c r="T107" s="22" t="str">
        <f t="shared" ca="1" si="52"/>
        <v>Bad</v>
      </c>
      <c r="U107" s="21">
        <f t="shared" ca="1" si="53"/>
        <v>224</v>
      </c>
      <c r="V107" s="21">
        <f>36</f>
        <v>36</v>
      </c>
      <c r="W107" s="25"/>
      <c r="X107" s="25"/>
      <c r="Y107" s="27"/>
      <c r="Z107" s="27"/>
      <c r="AA107" s="28"/>
      <c r="AD107" s="21" t="s">
        <v>35</v>
      </c>
      <c r="AE107" s="19" t="s">
        <v>36</v>
      </c>
    </row>
    <row r="108" spans="1:31" ht="14.4" x14ac:dyDescent="0.3">
      <c r="A108" s="6">
        <v>4655</v>
      </c>
      <c r="B108" s="7" t="s">
        <v>95</v>
      </c>
      <c r="C108" s="8">
        <v>193</v>
      </c>
      <c r="D108" s="9" t="s">
        <v>32</v>
      </c>
      <c r="E108" s="6" t="s">
        <v>33</v>
      </c>
      <c r="F108" s="10">
        <v>45824</v>
      </c>
      <c r="G108" s="10">
        <v>45830</v>
      </c>
      <c r="H108" s="11">
        <v>192</v>
      </c>
      <c r="I108" s="12">
        <v>232</v>
      </c>
      <c r="J108" s="13"/>
      <c r="K108" s="14">
        <v>45834</v>
      </c>
      <c r="L108" s="11"/>
      <c r="M108" s="11"/>
      <c r="N108" s="15"/>
      <c r="O108" s="15"/>
      <c r="P108" s="15"/>
      <c r="Q108" s="15"/>
      <c r="R108" s="15"/>
      <c r="S108" s="15"/>
      <c r="T108" s="16" t="str">
        <f t="shared" ca="1" si="52"/>
        <v/>
      </c>
      <c r="U108" s="16" t="str">
        <f t="shared" ca="1" si="53"/>
        <v/>
      </c>
      <c r="V108" s="16"/>
      <c r="W108" s="17" t="s">
        <v>106</v>
      </c>
      <c r="X108" s="17" t="s">
        <v>107</v>
      </c>
      <c r="Y108" s="10"/>
      <c r="Z108" s="10"/>
      <c r="AA108" s="18"/>
      <c r="AD108" s="6" t="s">
        <v>55</v>
      </c>
      <c r="AE108" s="19" t="s">
        <v>36</v>
      </c>
    </row>
    <row r="109" spans="1:31" ht="14.4" x14ac:dyDescent="0.3">
      <c r="A109" s="8">
        <v>5011</v>
      </c>
      <c r="B109" s="43" t="s">
        <v>172</v>
      </c>
      <c r="C109" s="8">
        <v>198</v>
      </c>
      <c r="D109" s="44" t="s">
        <v>32</v>
      </c>
      <c r="E109" s="8" t="s">
        <v>46</v>
      </c>
      <c r="F109" s="45">
        <v>46041</v>
      </c>
      <c r="G109" s="45">
        <v>46050</v>
      </c>
      <c r="H109" s="46"/>
      <c r="I109" s="47"/>
      <c r="J109" s="8"/>
      <c r="K109" s="48"/>
      <c r="L109" s="46"/>
      <c r="M109" s="46"/>
      <c r="N109" s="49"/>
      <c r="O109" s="50"/>
      <c r="P109" s="50"/>
      <c r="Q109" s="51"/>
      <c r="R109" s="51" t="str">
        <f>IF(Q109,Q109-K109,"")</f>
        <v/>
      </c>
      <c r="S109" s="51" t="str">
        <f>IF(R109="","",IF(R109&lt;=4,"Excellent",IF(R109&lt;=8,"Good",IF(R109&lt;=15,"Average",IF(R109&lt;=30,"Poor",IF(R109&gt;=30,"Bad"))))))</f>
        <v/>
      </c>
      <c r="T109" s="46" t="str">
        <f ca="1">IF(U109="","",IF(U109&lt;=3,"Excellent",IF(U109&lt;=7,"Good",IF(U109&lt;=14,"Average",IF(U109&lt;=30,"Poor",IF(U109&gt;=30,"Bad"))))))</f>
        <v>Bad</v>
      </c>
      <c r="U109" s="21">
        <f t="shared" ca="1" si="53"/>
        <v>85</v>
      </c>
      <c r="V109" s="6">
        <f>40</f>
        <v>40</v>
      </c>
      <c r="W109" s="17"/>
      <c r="X109" s="17"/>
      <c r="Y109" s="8"/>
      <c r="Z109" s="8"/>
      <c r="AD109" s="8" t="s">
        <v>35</v>
      </c>
      <c r="AE109" s="19" t="s">
        <v>36</v>
      </c>
    </row>
    <row r="110" spans="1:31" ht="14.4" x14ac:dyDescent="0.3">
      <c r="A110" s="21">
        <v>4799</v>
      </c>
      <c r="B110" s="55" t="s">
        <v>95</v>
      </c>
      <c r="C110" s="8">
        <v>199</v>
      </c>
      <c r="D110" s="9" t="s">
        <v>32</v>
      </c>
      <c r="E110" s="21" t="s">
        <v>33</v>
      </c>
      <c r="F110" s="10">
        <v>45894</v>
      </c>
      <c r="G110" s="10">
        <v>45900</v>
      </c>
      <c r="H110" s="22">
        <v>263</v>
      </c>
      <c r="I110" s="23">
        <v>323</v>
      </c>
      <c r="J110" s="24"/>
      <c r="K110" s="14">
        <v>45906</v>
      </c>
      <c r="L110" s="22"/>
      <c r="M110" s="22"/>
      <c r="N110" s="15"/>
      <c r="O110" s="15"/>
      <c r="P110" s="15"/>
      <c r="Q110" s="15"/>
      <c r="R110" s="15"/>
      <c r="S110" s="15"/>
      <c r="T110" s="25" t="str">
        <f t="shared" ref="T110:T112" ca="1" si="54">IF($U110="","",IF($U110&lt;=3,"Excellent",IF($U110&lt;=7,"Good",IF($U110&lt;=14,"Average",IF($U110&lt;=30,"Poor",IF($U110&gt;=30,"Bad"))))))</f>
        <v/>
      </c>
      <c r="U110" s="25" t="str">
        <f t="shared" ref="U110:U113" ca="1" si="55">IF(E110="Document", IF(G110="", "", TODAY() - G110), "")</f>
        <v/>
      </c>
      <c r="V110" s="21">
        <f>13</f>
        <v>13</v>
      </c>
      <c r="W110" s="26" t="s">
        <v>173</v>
      </c>
      <c r="X110" s="26" t="s">
        <v>174</v>
      </c>
      <c r="Y110" s="27"/>
      <c r="Z110" s="27"/>
      <c r="AA110" s="28"/>
      <c r="AD110" s="21" t="s">
        <v>35</v>
      </c>
      <c r="AE110" s="19" t="s">
        <v>36</v>
      </c>
    </row>
    <row r="111" spans="1:31" ht="14.4" x14ac:dyDescent="0.3">
      <c r="A111" s="21">
        <v>4886</v>
      </c>
      <c r="B111" s="37" t="s">
        <v>47</v>
      </c>
      <c r="C111" s="8">
        <v>200</v>
      </c>
      <c r="D111" s="9" t="s">
        <v>32</v>
      </c>
      <c r="E111" s="21" t="s">
        <v>46</v>
      </c>
      <c r="F111" s="42">
        <v>45959</v>
      </c>
      <c r="G111" s="42">
        <v>45973</v>
      </c>
      <c r="H111" s="25"/>
      <c r="I111" s="39"/>
      <c r="J111" s="40"/>
      <c r="K111" s="41"/>
      <c r="L111" s="25"/>
      <c r="M111" s="25"/>
      <c r="N111" s="15"/>
      <c r="O111" s="15"/>
      <c r="P111" s="15"/>
      <c r="Q111" s="15"/>
      <c r="R111" s="15"/>
      <c r="S111" s="15"/>
      <c r="T111" s="22" t="str">
        <f t="shared" ca="1" si="54"/>
        <v>Bad</v>
      </c>
      <c r="U111" s="21">
        <f t="shared" ca="1" si="55"/>
        <v>162</v>
      </c>
      <c r="V111" s="25"/>
      <c r="W111" s="25"/>
      <c r="X111" s="25"/>
      <c r="Y111" s="27"/>
      <c r="Z111" s="27"/>
      <c r="AA111" s="28"/>
      <c r="AD111" s="21" t="s">
        <v>35</v>
      </c>
      <c r="AE111" s="19" t="s">
        <v>36</v>
      </c>
    </row>
    <row r="112" spans="1:31" ht="14.4" x14ac:dyDescent="0.3">
      <c r="A112" s="21">
        <v>4784</v>
      </c>
      <c r="B112" s="55" t="s">
        <v>175</v>
      </c>
      <c r="C112" s="8">
        <v>203</v>
      </c>
      <c r="D112" s="9" t="s">
        <v>32</v>
      </c>
      <c r="E112" s="21" t="s">
        <v>33</v>
      </c>
      <c r="F112" s="10">
        <v>45880</v>
      </c>
      <c r="G112" s="10">
        <v>45898</v>
      </c>
      <c r="H112" s="22">
        <v>110</v>
      </c>
      <c r="I112" s="23">
        <v>130</v>
      </c>
      <c r="J112" s="24"/>
      <c r="K112" s="14">
        <v>45901</v>
      </c>
      <c r="L112" s="22"/>
      <c r="M112" s="22"/>
      <c r="N112" s="15"/>
      <c r="O112" s="15"/>
      <c r="P112" s="15"/>
      <c r="Q112" s="15"/>
      <c r="R112" s="15"/>
      <c r="S112" s="15"/>
      <c r="T112" s="25" t="str">
        <f t="shared" ca="1" si="54"/>
        <v/>
      </c>
      <c r="U112" s="25" t="str">
        <f t="shared" ca="1" si="55"/>
        <v/>
      </c>
      <c r="V112" s="25"/>
      <c r="W112" s="26" t="s">
        <v>176</v>
      </c>
      <c r="X112" s="26" t="s">
        <v>177</v>
      </c>
      <c r="Y112" s="27"/>
      <c r="Z112" s="27"/>
      <c r="AA112" s="28"/>
      <c r="AD112" s="21" t="s">
        <v>35</v>
      </c>
      <c r="AE112" s="19" t="s">
        <v>36</v>
      </c>
    </row>
    <row r="113" spans="1:31" ht="14.4" x14ac:dyDescent="0.3">
      <c r="A113" s="21">
        <v>5111</v>
      </c>
      <c r="B113" s="26" t="s">
        <v>37</v>
      </c>
      <c r="C113" s="8">
        <v>204</v>
      </c>
      <c r="D113" s="9" t="s">
        <v>38</v>
      </c>
      <c r="E113" s="21" t="s">
        <v>46</v>
      </c>
      <c r="F113" s="27">
        <v>46118</v>
      </c>
      <c r="G113" s="27">
        <v>46123</v>
      </c>
      <c r="H113" s="29"/>
      <c r="I113" s="30"/>
      <c r="J113" s="21"/>
      <c r="K113" s="31"/>
      <c r="L113" s="29"/>
      <c r="M113" s="29"/>
      <c r="N113" s="32"/>
      <c r="O113" s="33"/>
      <c r="P113" s="33"/>
      <c r="Q113" s="34"/>
      <c r="R113" s="34" t="str">
        <f>IF(Q113,Q113-K113,"")</f>
        <v/>
      </c>
      <c r="S113" s="34" t="str">
        <f>IF(R113="","",IF(R113&lt;=4,"Excellent",IF(R113&lt;=8,"Good",IF(R113&lt;=15,"Average",IF(R113&lt;=30,"Poor",IF(R113&gt;=30,"Bad"))))))</f>
        <v/>
      </c>
      <c r="T113" s="29" t="str">
        <f ca="1">IF(U113="","",IF(U113&lt;=3,"Excellent",IF(U113&lt;=7,"Good",IF(U113&lt;=14,"Average",IF(U113&lt;=30,"Poor",IF(U113&gt;=30,"Bad"))))))</f>
        <v>Average</v>
      </c>
      <c r="U113" s="21">
        <f t="shared" ca="1" si="55"/>
        <v>12</v>
      </c>
      <c r="V113" s="29">
        <f>10</f>
        <v>10</v>
      </c>
      <c r="W113" s="16"/>
      <c r="X113" s="16"/>
      <c r="Y113" s="21"/>
      <c r="Z113" s="21"/>
      <c r="AD113" s="21" t="s">
        <v>35</v>
      </c>
      <c r="AE113" s="19" t="s">
        <v>36</v>
      </c>
    </row>
    <row r="114" spans="1:31" ht="14.4" x14ac:dyDescent="0.3">
      <c r="A114" s="21">
        <v>4894</v>
      </c>
      <c r="B114" s="37" t="s">
        <v>37</v>
      </c>
      <c r="C114" s="8">
        <v>204</v>
      </c>
      <c r="D114" s="9" t="s">
        <v>38</v>
      </c>
      <c r="E114" s="21" t="s">
        <v>33</v>
      </c>
      <c r="F114" s="42">
        <v>45971</v>
      </c>
      <c r="G114" s="42">
        <v>45982</v>
      </c>
      <c r="H114" s="22">
        <v>188</v>
      </c>
      <c r="I114" s="23">
        <v>253</v>
      </c>
      <c r="J114" s="24"/>
      <c r="K114" s="14">
        <v>45982</v>
      </c>
      <c r="L114" s="22"/>
      <c r="M114" s="22"/>
      <c r="N114" s="15"/>
      <c r="O114" s="15"/>
      <c r="P114" s="15"/>
      <c r="Q114" s="15"/>
      <c r="R114" s="15"/>
      <c r="S114" s="15"/>
      <c r="T114" s="25" t="str">
        <f t="shared" ref="T114:T118" ca="1" si="56">IF($U114="","",IF($U114&lt;=3,"Excellent",IF($U114&lt;=7,"Good",IF($U114&lt;=14,"Average",IF($U114&lt;=30,"Poor",IF($U114&gt;=30,"Bad"))))))</f>
        <v/>
      </c>
      <c r="U114" s="25" t="str">
        <f t="shared" ref="U114:U118" ca="1" si="57">IF(E114="Document", IF(G114="", "", TODAY() - G114), "")</f>
        <v/>
      </c>
      <c r="V114" s="25"/>
      <c r="W114" s="26" t="s">
        <v>63</v>
      </c>
      <c r="X114" s="26" t="s">
        <v>64</v>
      </c>
      <c r="Y114" s="27"/>
      <c r="Z114" s="27"/>
      <c r="AA114" s="28"/>
      <c r="AD114" s="21" t="s">
        <v>35</v>
      </c>
      <c r="AE114" s="19" t="s">
        <v>36</v>
      </c>
    </row>
    <row r="115" spans="1:31" ht="14.4" x14ac:dyDescent="0.3">
      <c r="A115" s="21">
        <v>4934</v>
      </c>
      <c r="B115" s="37" t="s">
        <v>178</v>
      </c>
      <c r="C115" s="8">
        <v>216</v>
      </c>
      <c r="D115" s="9" t="s">
        <v>32</v>
      </c>
      <c r="E115" s="21" t="s">
        <v>77</v>
      </c>
      <c r="F115" s="38">
        <v>45993</v>
      </c>
      <c r="G115" s="38">
        <v>45994</v>
      </c>
      <c r="H115" s="25"/>
      <c r="I115" s="39"/>
      <c r="J115" s="40"/>
      <c r="K115" s="14">
        <v>45996</v>
      </c>
      <c r="L115" s="22"/>
      <c r="M115" s="22"/>
      <c r="N115" s="15"/>
      <c r="O115" s="15"/>
      <c r="P115" s="15"/>
      <c r="Q115" s="15"/>
      <c r="R115" s="15"/>
      <c r="S115" s="15"/>
      <c r="T115" s="25" t="str">
        <f t="shared" ca="1" si="56"/>
        <v/>
      </c>
      <c r="U115" s="25" t="str">
        <f t="shared" ca="1" si="57"/>
        <v/>
      </c>
      <c r="V115" s="25"/>
      <c r="W115" s="26" t="s">
        <v>179</v>
      </c>
      <c r="X115" s="25"/>
      <c r="Y115" s="27"/>
      <c r="Z115" s="27"/>
      <c r="AA115" s="28"/>
      <c r="AD115" s="21" t="s">
        <v>35</v>
      </c>
      <c r="AE115" s="19" t="s">
        <v>36</v>
      </c>
    </row>
    <row r="116" spans="1:31" ht="14.4" x14ac:dyDescent="0.3">
      <c r="A116" s="21">
        <v>4947</v>
      </c>
      <c r="B116" s="37" t="s">
        <v>180</v>
      </c>
      <c r="C116" s="8">
        <v>223</v>
      </c>
      <c r="D116" s="9" t="s">
        <v>76</v>
      </c>
      <c r="E116" s="21" t="s">
        <v>46</v>
      </c>
      <c r="F116" s="38">
        <v>46007</v>
      </c>
      <c r="G116" s="38">
        <v>46008</v>
      </c>
      <c r="H116" s="25"/>
      <c r="I116" s="39"/>
      <c r="J116" s="40"/>
      <c r="K116" s="41"/>
      <c r="L116" s="25"/>
      <c r="M116" s="25"/>
      <c r="N116" s="15"/>
      <c r="O116" s="15"/>
      <c r="P116" s="15"/>
      <c r="Q116" s="15"/>
      <c r="R116" s="15"/>
      <c r="S116" s="15"/>
      <c r="T116" s="22" t="str">
        <f t="shared" ca="1" si="56"/>
        <v>Bad</v>
      </c>
      <c r="U116" s="21">
        <f t="shared" ca="1" si="57"/>
        <v>127</v>
      </c>
      <c r="V116" s="25"/>
      <c r="W116" s="25"/>
      <c r="X116" s="25"/>
      <c r="Y116" s="27"/>
      <c r="Z116" s="27"/>
      <c r="AA116" s="28"/>
      <c r="AD116" s="21" t="s">
        <v>35</v>
      </c>
      <c r="AE116" s="19" t="s">
        <v>36</v>
      </c>
    </row>
    <row r="117" spans="1:31" ht="14.4" x14ac:dyDescent="0.3">
      <c r="A117" s="21">
        <v>4931</v>
      </c>
      <c r="B117" s="37" t="s">
        <v>181</v>
      </c>
      <c r="C117" s="8">
        <v>223</v>
      </c>
      <c r="D117" s="9" t="s">
        <v>38</v>
      </c>
      <c r="E117" s="21" t="s">
        <v>46</v>
      </c>
      <c r="F117" s="38">
        <v>46019</v>
      </c>
      <c r="G117" s="38">
        <v>46019</v>
      </c>
      <c r="H117" s="25"/>
      <c r="I117" s="39"/>
      <c r="J117" s="40"/>
      <c r="K117" s="41"/>
      <c r="L117" s="25"/>
      <c r="M117" s="25"/>
      <c r="N117" s="15"/>
      <c r="O117" s="15"/>
      <c r="P117" s="15"/>
      <c r="Q117" s="15"/>
      <c r="R117" s="15"/>
      <c r="S117" s="15"/>
      <c r="T117" s="22" t="str">
        <f t="shared" ca="1" si="56"/>
        <v>Bad</v>
      </c>
      <c r="U117" s="21">
        <f t="shared" ca="1" si="57"/>
        <v>116</v>
      </c>
      <c r="V117" s="25"/>
      <c r="W117" s="25"/>
      <c r="X117" s="25"/>
      <c r="Y117" s="27"/>
      <c r="Z117" s="27"/>
      <c r="AA117" s="28"/>
      <c r="AD117" s="21" t="s">
        <v>35</v>
      </c>
      <c r="AE117" s="19" t="s">
        <v>36</v>
      </c>
    </row>
    <row r="118" spans="1:31" ht="14.4" x14ac:dyDescent="0.3">
      <c r="A118" s="21">
        <v>4746</v>
      </c>
      <c r="B118" s="55" t="s">
        <v>182</v>
      </c>
      <c r="C118" s="8">
        <v>224</v>
      </c>
      <c r="D118" s="9" t="s">
        <v>38</v>
      </c>
      <c r="E118" s="21" t="s">
        <v>33</v>
      </c>
      <c r="F118" s="10">
        <v>45877</v>
      </c>
      <c r="G118" s="10">
        <v>45877</v>
      </c>
      <c r="H118" s="22">
        <v>75</v>
      </c>
      <c r="I118" s="23">
        <v>75</v>
      </c>
      <c r="J118" s="24"/>
      <c r="K118" s="14">
        <v>45879</v>
      </c>
      <c r="L118" s="22"/>
      <c r="M118" s="22"/>
      <c r="N118" s="15"/>
      <c r="O118" s="15"/>
      <c r="P118" s="15"/>
      <c r="Q118" s="15"/>
      <c r="R118" s="15"/>
      <c r="S118" s="15"/>
      <c r="T118" s="25" t="str">
        <f t="shared" ca="1" si="56"/>
        <v/>
      </c>
      <c r="U118" s="25" t="str">
        <f t="shared" ca="1" si="57"/>
        <v/>
      </c>
      <c r="V118" s="25"/>
      <c r="W118" s="26" t="s">
        <v>183</v>
      </c>
      <c r="X118" s="26" t="s">
        <v>171</v>
      </c>
      <c r="Y118" s="27"/>
      <c r="Z118" s="27"/>
      <c r="AA118" s="28"/>
      <c r="AD118" s="21" t="s">
        <v>35</v>
      </c>
      <c r="AE118" s="19" t="s">
        <v>36</v>
      </c>
    </row>
    <row r="119" spans="1:31" ht="14.4" x14ac:dyDescent="0.3">
      <c r="A119" s="21">
        <v>5109</v>
      </c>
      <c r="B119" s="26" t="s">
        <v>184</v>
      </c>
      <c r="C119" s="8">
        <v>229</v>
      </c>
      <c r="D119" s="9" t="s">
        <v>57</v>
      </c>
      <c r="E119" s="6" t="s">
        <v>33</v>
      </c>
      <c r="F119" s="27">
        <v>46099</v>
      </c>
      <c r="G119" s="27">
        <v>46099</v>
      </c>
      <c r="H119" s="29">
        <v>10</v>
      </c>
      <c r="I119" s="30">
        <v>15</v>
      </c>
      <c r="J119" s="21"/>
      <c r="K119" s="31">
        <v>46099</v>
      </c>
      <c r="L119" s="29"/>
      <c r="M119" s="29"/>
      <c r="N119" s="32">
        <v>46111</v>
      </c>
      <c r="O119" s="33"/>
      <c r="P119" s="33"/>
      <c r="Q119" s="34"/>
      <c r="R119" s="34" t="str">
        <f>IF(Q119,Q119-K119,"")</f>
        <v/>
      </c>
      <c r="S119" s="34" t="str">
        <f>IF(R119="","",IF(R119&lt;=4,"Excellent",IF(R119&lt;=8,"Good",IF(R119&lt;=15,"Average",IF(R119&lt;=30,"Poor",IF(R119&gt;=30,"Bad"))))))</f>
        <v/>
      </c>
      <c r="T119" s="29" t="str">
        <f ca="1">IF(U119="","",IF(U119&lt;=3,"Excellent",IF(U119&lt;=7,"Good",IF(U119&lt;=14,"Average",IF(U119&lt;=30,"Poor",IF(U119&gt;=30,"Bad"))))))</f>
        <v/>
      </c>
      <c r="U119" s="29" t="str">
        <f ca="1">IF(E119="Document", IF(#REF!="", "", TODAY() -#REF!), "")</f>
        <v/>
      </c>
      <c r="V119" s="29">
        <f>12</f>
        <v>12</v>
      </c>
      <c r="W119" s="16" t="s">
        <v>162</v>
      </c>
      <c r="X119" s="16" t="s">
        <v>141</v>
      </c>
      <c r="Y119" s="21"/>
      <c r="Z119" s="21"/>
      <c r="AD119" s="21" t="s">
        <v>35</v>
      </c>
      <c r="AE119" s="19" t="s">
        <v>36</v>
      </c>
    </row>
    <row r="120" spans="1:31" ht="14.4" x14ac:dyDescent="0.3">
      <c r="A120" s="21">
        <v>4928</v>
      </c>
      <c r="B120" s="37" t="s">
        <v>185</v>
      </c>
      <c r="C120" s="8">
        <v>236</v>
      </c>
      <c r="D120" s="9" t="s">
        <v>57</v>
      </c>
      <c r="E120" s="21" t="s">
        <v>33</v>
      </c>
      <c r="F120" s="42">
        <v>45989</v>
      </c>
      <c r="G120" s="42">
        <v>45989</v>
      </c>
      <c r="H120" s="22">
        <v>65</v>
      </c>
      <c r="I120" s="23">
        <v>120</v>
      </c>
      <c r="J120" s="24"/>
      <c r="K120" s="14">
        <v>45989</v>
      </c>
      <c r="L120" s="22"/>
      <c r="M120" s="22"/>
      <c r="N120" s="15"/>
      <c r="O120" s="15"/>
      <c r="P120" s="15"/>
      <c r="Q120" s="15"/>
      <c r="R120" s="15"/>
      <c r="S120" s="15"/>
      <c r="T120" s="25" t="str">
        <f ca="1">IF($U120="","",IF($U120&lt;=3,"Excellent",IF($U120&lt;=7,"Good",IF($U120&lt;=14,"Average",IF($U120&lt;=30,"Poor",IF($U120&gt;=30,"Bad"))))))</f>
        <v/>
      </c>
      <c r="U120" s="25" t="str">
        <f ca="1">IF(E120="Document", IF(G120="", "", TODAY() - G120), "")</f>
        <v/>
      </c>
      <c r="V120" s="25"/>
      <c r="W120" s="26" t="s">
        <v>186</v>
      </c>
      <c r="X120" s="26" t="s">
        <v>187</v>
      </c>
      <c r="Y120" s="27"/>
      <c r="Z120" s="27"/>
      <c r="AA120" s="28"/>
      <c r="AD120" s="21" t="s">
        <v>35</v>
      </c>
      <c r="AE120" s="19" t="s">
        <v>36</v>
      </c>
    </row>
    <row r="121" spans="1:31" ht="14.4" x14ac:dyDescent="0.3">
      <c r="A121" s="21">
        <v>5063</v>
      </c>
      <c r="B121" s="26" t="s">
        <v>188</v>
      </c>
      <c r="C121" s="8">
        <v>237</v>
      </c>
      <c r="D121" s="9" t="s">
        <v>189</v>
      </c>
      <c r="E121" s="59" t="s">
        <v>46</v>
      </c>
      <c r="F121" s="27">
        <v>46061</v>
      </c>
      <c r="G121" s="27">
        <v>46061</v>
      </c>
      <c r="H121" s="29"/>
      <c r="I121" s="30"/>
      <c r="J121" s="21"/>
      <c r="K121" s="31"/>
      <c r="L121" s="29"/>
      <c r="M121" s="29"/>
      <c r="N121" s="32"/>
      <c r="O121" s="33"/>
      <c r="P121" s="33"/>
      <c r="Q121" s="34"/>
      <c r="R121" s="34" t="str">
        <f t="shared" ref="R121:R126" si="58">IF(Q121,Q121-K121,"")</f>
        <v/>
      </c>
      <c r="S121" s="34" t="str">
        <f t="shared" ref="S121:S126" si="59">IF(R121="","",IF(R121&lt;=4,"Excellent",IF(R121&lt;=8,"Good",IF(R121&lt;=15,"Average",IF(R121&lt;=30,"Poor",IF(R121&gt;=30,"Bad"))))))</f>
        <v/>
      </c>
      <c r="T121" s="29" t="str">
        <f t="shared" ref="T121:T125" ca="1" si="60">IF(U121="","",IF(U121&lt;=3,"Excellent",IF(U121&lt;=7,"Good",IF(U121&lt;=14,"Average",IF(U121&lt;=30,"Poor",IF(U121&gt;=30,"Bad"))))))</f>
        <v>Bad</v>
      </c>
      <c r="U121" s="21">
        <f t="shared" ref="U121:U122" ca="1" si="61">IF(E121="Document", IF(G121="", "", TODAY() - G121), "")</f>
        <v>74</v>
      </c>
      <c r="V121" s="29">
        <f t="shared" ref="V121:V122" si="62">40</f>
        <v>40</v>
      </c>
      <c r="W121" s="16"/>
      <c r="X121" s="16"/>
      <c r="Y121" s="21"/>
      <c r="Z121" s="21"/>
      <c r="AD121" s="21" t="s">
        <v>35</v>
      </c>
      <c r="AE121" s="19" t="s">
        <v>36</v>
      </c>
    </row>
    <row r="122" spans="1:31" ht="14.4" x14ac:dyDescent="0.3">
      <c r="A122" s="21">
        <v>5051</v>
      </c>
      <c r="B122" s="26" t="s">
        <v>190</v>
      </c>
      <c r="C122" s="8">
        <v>243</v>
      </c>
      <c r="D122" s="9" t="s">
        <v>32</v>
      </c>
      <c r="E122" s="21" t="s">
        <v>46</v>
      </c>
      <c r="F122" s="27">
        <v>46056</v>
      </c>
      <c r="G122" s="27">
        <v>46057</v>
      </c>
      <c r="H122" s="29"/>
      <c r="I122" s="30"/>
      <c r="J122" s="21"/>
      <c r="K122" s="31"/>
      <c r="L122" s="29"/>
      <c r="M122" s="29"/>
      <c r="N122" s="32"/>
      <c r="O122" s="33"/>
      <c r="P122" s="33"/>
      <c r="Q122" s="34"/>
      <c r="R122" s="34" t="str">
        <f t="shared" si="58"/>
        <v/>
      </c>
      <c r="S122" s="34" t="str">
        <f t="shared" si="59"/>
        <v/>
      </c>
      <c r="T122" s="29" t="str">
        <f t="shared" ca="1" si="60"/>
        <v>Bad</v>
      </c>
      <c r="U122" s="21">
        <f t="shared" ca="1" si="61"/>
        <v>78</v>
      </c>
      <c r="V122" s="29">
        <f t="shared" si="62"/>
        <v>40</v>
      </c>
      <c r="W122" s="16"/>
      <c r="X122" s="16"/>
      <c r="Y122" s="21"/>
      <c r="Z122" s="21"/>
      <c r="AD122" s="21" t="s">
        <v>35</v>
      </c>
      <c r="AE122" s="19" t="s">
        <v>36</v>
      </c>
    </row>
    <row r="123" spans="1:31" ht="14.4" x14ac:dyDescent="0.3">
      <c r="A123" s="21">
        <v>5101</v>
      </c>
      <c r="B123" s="26" t="s">
        <v>191</v>
      </c>
      <c r="C123" s="8">
        <v>243</v>
      </c>
      <c r="D123" s="9" t="s">
        <v>32</v>
      </c>
      <c r="E123" s="21" t="s">
        <v>46</v>
      </c>
      <c r="F123" s="27">
        <v>46090</v>
      </c>
      <c r="G123" s="27">
        <v>46094</v>
      </c>
      <c r="H123" s="29"/>
      <c r="I123" s="30"/>
      <c r="J123" s="21"/>
      <c r="K123" s="31"/>
      <c r="L123" s="29"/>
      <c r="M123" s="29"/>
      <c r="N123" s="32"/>
      <c r="O123" s="33"/>
      <c r="P123" s="33"/>
      <c r="Q123" s="34"/>
      <c r="R123" s="34" t="str">
        <f t="shared" si="58"/>
        <v/>
      </c>
      <c r="S123" s="34" t="str">
        <f t="shared" si="59"/>
        <v/>
      </c>
      <c r="T123" s="29" t="str">
        <f t="shared" ca="1" si="60"/>
        <v>Bad</v>
      </c>
      <c r="U123" s="21">
        <f t="shared" ref="U123:U124" ca="1" si="63">IF(E123="Document", IF(G123="", "", TODAY() - G123), "")</f>
        <v>41</v>
      </c>
      <c r="V123" s="29">
        <f t="shared" ref="V123:V124" si="64">39</f>
        <v>39</v>
      </c>
      <c r="W123" s="16"/>
      <c r="X123" s="16"/>
      <c r="Y123" s="21"/>
      <c r="Z123" s="21"/>
      <c r="AD123" s="21" t="s">
        <v>35</v>
      </c>
      <c r="AE123" s="19" t="s">
        <v>36</v>
      </c>
    </row>
    <row r="124" spans="1:31" ht="14.4" x14ac:dyDescent="0.3">
      <c r="A124" s="21">
        <v>5101</v>
      </c>
      <c r="B124" s="26" t="s">
        <v>191</v>
      </c>
      <c r="C124" s="8">
        <v>243</v>
      </c>
      <c r="D124" s="9" t="s">
        <v>32</v>
      </c>
      <c r="E124" s="21" t="s">
        <v>46</v>
      </c>
      <c r="F124" s="27">
        <v>46090</v>
      </c>
      <c r="G124" s="27">
        <v>46094</v>
      </c>
      <c r="H124" s="29"/>
      <c r="I124" s="30"/>
      <c r="J124" s="21"/>
      <c r="K124" s="31"/>
      <c r="L124" s="29"/>
      <c r="M124" s="29"/>
      <c r="N124" s="32"/>
      <c r="O124" s="33"/>
      <c r="P124" s="33"/>
      <c r="Q124" s="34"/>
      <c r="R124" s="34" t="str">
        <f t="shared" si="58"/>
        <v/>
      </c>
      <c r="S124" s="34" t="str">
        <f t="shared" si="59"/>
        <v/>
      </c>
      <c r="T124" s="29" t="str">
        <f t="shared" ca="1" si="60"/>
        <v>Bad</v>
      </c>
      <c r="U124" s="21">
        <f t="shared" ca="1" si="63"/>
        <v>41</v>
      </c>
      <c r="V124" s="29">
        <f t="shared" si="64"/>
        <v>39</v>
      </c>
      <c r="W124" s="16"/>
      <c r="X124" s="16"/>
      <c r="Y124" s="21"/>
      <c r="Z124" s="21"/>
      <c r="AD124" s="21" t="s">
        <v>35</v>
      </c>
      <c r="AE124" s="19" t="s">
        <v>36</v>
      </c>
    </row>
    <row r="125" spans="1:31" ht="14.4" x14ac:dyDescent="0.3">
      <c r="A125" s="21">
        <v>5117</v>
      </c>
      <c r="B125" s="26" t="s">
        <v>103</v>
      </c>
      <c r="C125" s="8">
        <v>243</v>
      </c>
      <c r="D125" s="9" t="s">
        <v>32</v>
      </c>
      <c r="E125" s="21" t="s">
        <v>46</v>
      </c>
      <c r="F125" s="27">
        <v>46118</v>
      </c>
      <c r="G125" s="27">
        <v>46122</v>
      </c>
      <c r="H125" s="29"/>
      <c r="I125" s="30"/>
      <c r="J125" s="21"/>
      <c r="K125" s="31"/>
      <c r="L125" s="29"/>
      <c r="M125" s="29"/>
      <c r="N125" s="32"/>
      <c r="O125" s="33"/>
      <c r="P125" s="33"/>
      <c r="Q125" s="34"/>
      <c r="R125" s="34" t="str">
        <f t="shared" si="58"/>
        <v/>
      </c>
      <c r="S125" s="34" t="str">
        <f t="shared" si="59"/>
        <v/>
      </c>
      <c r="T125" s="29" t="str">
        <f t="shared" ca="1" si="60"/>
        <v>Average</v>
      </c>
      <c r="U125" s="21">
        <f t="shared" ref="U125" ca="1" si="65">IF(E125="Document", IF(G125="", "", TODAY() - G125), "")</f>
        <v>13</v>
      </c>
      <c r="V125" s="29">
        <f>10</f>
        <v>10</v>
      </c>
      <c r="W125" s="16"/>
      <c r="X125" s="16"/>
      <c r="Y125" s="21"/>
      <c r="Z125" s="21"/>
      <c r="AD125" s="21" t="s">
        <v>35</v>
      </c>
      <c r="AE125" s="19" t="s">
        <v>36</v>
      </c>
    </row>
    <row r="126" spans="1:31" ht="14.4" x14ac:dyDescent="0.3">
      <c r="A126" s="21">
        <v>5117</v>
      </c>
      <c r="B126" s="26" t="s">
        <v>103</v>
      </c>
      <c r="C126" s="8">
        <v>243</v>
      </c>
      <c r="D126" s="9" t="s">
        <v>32</v>
      </c>
      <c r="E126" s="21" t="s">
        <v>62</v>
      </c>
      <c r="F126" s="27">
        <v>46118</v>
      </c>
      <c r="G126" s="27">
        <v>46126</v>
      </c>
      <c r="H126" s="29"/>
      <c r="I126" s="30"/>
      <c r="J126" s="21"/>
      <c r="K126" s="48"/>
      <c r="L126" s="29"/>
      <c r="M126" s="29"/>
      <c r="N126" s="32"/>
      <c r="O126" s="33"/>
      <c r="P126" s="33"/>
      <c r="Q126" s="34"/>
      <c r="R126" s="34" t="str">
        <f t="shared" si="58"/>
        <v/>
      </c>
      <c r="S126" s="34" t="str">
        <f t="shared" si="59"/>
        <v/>
      </c>
      <c r="T126" s="46"/>
      <c r="U126" s="6"/>
      <c r="V126" s="6"/>
      <c r="W126" s="17"/>
      <c r="X126" s="17"/>
      <c r="Y126" s="21"/>
      <c r="Z126" s="21"/>
      <c r="AD126" s="21" t="s">
        <v>35</v>
      </c>
      <c r="AE126" s="19" t="s">
        <v>36</v>
      </c>
    </row>
    <row r="127" spans="1:31" ht="14.4" x14ac:dyDescent="0.3">
      <c r="A127" s="6">
        <v>4700</v>
      </c>
      <c r="B127" s="7" t="s">
        <v>192</v>
      </c>
      <c r="C127" s="8">
        <v>243</v>
      </c>
      <c r="D127" s="9" t="s">
        <v>32</v>
      </c>
      <c r="E127" s="6" t="s">
        <v>46</v>
      </c>
      <c r="F127" s="10">
        <v>45831</v>
      </c>
      <c r="G127" s="10">
        <v>45834</v>
      </c>
      <c r="H127" s="16"/>
      <c r="I127" s="53"/>
      <c r="J127" s="54"/>
      <c r="K127" s="41"/>
      <c r="L127" s="11"/>
      <c r="M127" s="11"/>
      <c r="N127" s="15"/>
      <c r="O127" s="15"/>
      <c r="P127" s="15"/>
      <c r="Q127" s="15"/>
      <c r="R127" s="15"/>
      <c r="S127" s="15"/>
      <c r="T127" s="11" t="str">
        <f t="shared" ref="T127:T130" ca="1" si="66">IF($U127="","",IF($U127&lt;=3,"Excellent",IF($U127&lt;=7,"Good",IF($U127&lt;=14,"Average",IF($U127&lt;=30,"Poor",IF($U127&gt;=30,"Bad"))))))</f>
        <v>Bad</v>
      </c>
      <c r="U127" s="6">
        <f t="shared" ref="U127:U131" ca="1" si="67">IF(E127="Document", IF(G127="", "", TODAY() - G127), "")</f>
        <v>301</v>
      </c>
      <c r="V127" s="6">
        <f t="shared" ref="V127:V128" si="68">109</f>
        <v>109</v>
      </c>
      <c r="W127" s="16"/>
      <c r="X127" s="16"/>
      <c r="Y127" s="10"/>
      <c r="Z127" s="10"/>
      <c r="AA127" s="18"/>
      <c r="AD127" s="6" t="s">
        <v>35</v>
      </c>
      <c r="AE127" s="19" t="s">
        <v>36</v>
      </c>
    </row>
    <row r="128" spans="1:31" ht="14.4" x14ac:dyDescent="0.3">
      <c r="A128" s="6">
        <v>4700</v>
      </c>
      <c r="B128" s="7" t="s">
        <v>192</v>
      </c>
      <c r="C128" s="8">
        <v>243</v>
      </c>
      <c r="D128" s="9" t="s">
        <v>32</v>
      </c>
      <c r="E128" s="6" t="s">
        <v>46</v>
      </c>
      <c r="F128" s="10">
        <v>45832</v>
      </c>
      <c r="G128" s="10">
        <v>45834</v>
      </c>
      <c r="H128" s="16"/>
      <c r="I128" s="53"/>
      <c r="J128" s="54"/>
      <c r="K128" s="41"/>
      <c r="L128" s="11"/>
      <c r="M128" s="11"/>
      <c r="N128" s="15"/>
      <c r="O128" s="15"/>
      <c r="P128" s="15"/>
      <c r="Q128" s="15"/>
      <c r="R128" s="15"/>
      <c r="S128" s="15"/>
      <c r="T128" s="11" t="str">
        <f t="shared" ca="1" si="66"/>
        <v>Bad</v>
      </c>
      <c r="U128" s="6">
        <f t="shared" ca="1" si="67"/>
        <v>301</v>
      </c>
      <c r="V128" s="6">
        <f t="shared" si="68"/>
        <v>109</v>
      </c>
      <c r="W128" s="16"/>
      <c r="X128" s="16"/>
      <c r="Y128" s="10"/>
      <c r="Z128" s="10"/>
      <c r="AA128" s="18"/>
      <c r="AD128" s="6" t="s">
        <v>35</v>
      </c>
      <c r="AE128" s="19" t="s">
        <v>36</v>
      </c>
    </row>
    <row r="129" spans="1:31" ht="14.4" x14ac:dyDescent="0.3">
      <c r="A129" s="6">
        <v>4598</v>
      </c>
      <c r="B129" s="7" t="s">
        <v>47</v>
      </c>
      <c r="C129" s="8">
        <v>260</v>
      </c>
      <c r="D129" s="9" t="s">
        <v>32</v>
      </c>
      <c r="E129" s="6" t="s">
        <v>33</v>
      </c>
      <c r="F129" s="10">
        <v>45727</v>
      </c>
      <c r="G129" s="10">
        <v>45731</v>
      </c>
      <c r="H129" s="11">
        <v>180</v>
      </c>
      <c r="I129" s="12">
        <v>210</v>
      </c>
      <c r="J129" s="13"/>
      <c r="K129" s="36">
        <v>45733</v>
      </c>
      <c r="L129" s="11"/>
      <c r="M129" s="11"/>
      <c r="N129" s="15"/>
      <c r="O129" s="15"/>
      <c r="P129" s="15"/>
      <c r="Q129" s="15"/>
      <c r="R129" s="15"/>
      <c r="S129" s="15"/>
      <c r="T129" s="16" t="str">
        <f t="shared" ca="1" si="66"/>
        <v/>
      </c>
      <c r="U129" s="16" t="str">
        <f t="shared" ca="1" si="67"/>
        <v/>
      </c>
      <c r="V129" s="16"/>
      <c r="W129" s="16"/>
      <c r="X129" s="17" t="s">
        <v>34</v>
      </c>
      <c r="Y129" s="10"/>
      <c r="Z129" s="10"/>
      <c r="AA129" s="18"/>
      <c r="AD129" s="6" t="s">
        <v>35</v>
      </c>
      <c r="AE129" s="19" t="s">
        <v>36</v>
      </c>
    </row>
    <row r="130" spans="1:31" ht="14.4" x14ac:dyDescent="0.3">
      <c r="A130" s="21">
        <v>4765</v>
      </c>
      <c r="B130" s="55" t="s">
        <v>193</v>
      </c>
      <c r="C130" s="8">
        <v>260</v>
      </c>
      <c r="D130" s="9" t="s">
        <v>76</v>
      </c>
      <c r="E130" s="21" t="s">
        <v>33</v>
      </c>
      <c r="F130" s="10">
        <v>45876</v>
      </c>
      <c r="G130" s="10">
        <v>45876</v>
      </c>
      <c r="H130" s="22">
        <v>11</v>
      </c>
      <c r="I130" s="23">
        <v>11</v>
      </c>
      <c r="J130" s="24"/>
      <c r="K130" s="14">
        <v>45880</v>
      </c>
      <c r="L130" s="22"/>
      <c r="M130" s="22"/>
      <c r="N130" s="15"/>
      <c r="O130" s="15"/>
      <c r="P130" s="15"/>
      <c r="Q130" s="15"/>
      <c r="R130" s="15"/>
      <c r="S130" s="15"/>
      <c r="T130" s="25" t="str">
        <f t="shared" ca="1" si="66"/>
        <v/>
      </c>
      <c r="U130" s="25" t="str">
        <f t="shared" ca="1" si="67"/>
        <v/>
      </c>
      <c r="V130" s="21">
        <f>3</f>
        <v>3</v>
      </c>
      <c r="W130" s="26" t="s">
        <v>194</v>
      </c>
      <c r="X130" s="26" t="s">
        <v>195</v>
      </c>
      <c r="Y130" s="27"/>
      <c r="Z130" s="27"/>
      <c r="AA130" s="28"/>
      <c r="AD130" s="21" t="s">
        <v>35</v>
      </c>
      <c r="AE130" s="19" t="s">
        <v>36</v>
      </c>
    </row>
    <row r="131" spans="1:31" ht="14.4" x14ac:dyDescent="0.3">
      <c r="A131" s="21">
        <v>5049</v>
      </c>
      <c r="B131" s="26" t="s">
        <v>196</v>
      </c>
      <c r="C131" s="8">
        <v>272</v>
      </c>
      <c r="D131" s="9" t="s">
        <v>32</v>
      </c>
      <c r="E131" s="6" t="s">
        <v>46</v>
      </c>
      <c r="F131" s="27">
        <v>46111</v>
      </c>
      <c r="G131" s="27">
        <v>46124</v>
      </c>
      <c r="H131" s="29"/>
      <c r="I131" s="30"/>
      <c r="J131" s="21"/>
      <c r="K131" s="31"/>
      <c r="L131" s="29"/>
      <c r="M131" s="29"/>
      <c r="N131" s="32"/>
      <c r="O131" s="33"/>
      <c r="P131" s="33"/>
      <c r="Q131" s="34"/>
      <c r="R131" s="34" t="str">
        <f>IF(Q131,Q131-K131,"")</f>
        <v/>
      </c>
      <c r="S131" s="34" t="str">
        <f>IF(R131="","",IF(R131&lt;=4,"Excellent",IF(R131&lt;=8,"Good",IF(R131&lt;=15,"Average",IF(R131&lt;=30,"Poor",IF(R131&gt;=30,"Bad"))))))</f>
        <v/>
      </c>
      <c r="T131" s="29" t="str">
        <f ca="1">IF(U131="","",IF(U131&lt;=3,"Excellent",IF(U131&lt;=7,"Good",IF(U131&lt;=14,"Average",IF(U131&lt;=30,"Poor",IF(U131&gt;=30,"Bad"))))))</f>
        <v>Average</v>
      </c>
      <c r="U131" s="21">
        <f t="shared" ca="1" si="67"/>
        <v>11</v>
      </c>
      <c r="V131" s="29">
        <f>9</f>
        <v>9</v>
      </c>
      <c r="W131" s="16"/>
      <c r="X131" s="65"/>
      <c r="Y131" s="21"/>
      <c r="Z131" s="21"/>
      <c r="AD131" s="21" t="s">
        <v>35</v>
      </c>
      <c r="AE131" s="19" t="s">
        <v>36</v>
      </c>
    </row>
    <row r="132" spans="1:31" ht="14.4" x14ac:dyDescent="0.3">
      <c r="A132" s="6">
        <v>4588</v>
      </c>
      <c r="B132" s="7" t="s">
        <v>197</v>
      </c>
      <c r="C132" s="8">
        <v>272</v>
      </c>
      <c r="D132" s="9" t="s">
        <v>57</v>
      </c>
      <c r="E132" s="6" t="s">
        <v>33</v>
      </c>
      <c r="F132" s="10">
        <v>45715</v>
      </c>
      <c r="G132" s="10">
        <v>45715</v>
      </c>
      <c r="H132" s="11">
        <v>15</v>
      </c>
      <c r="I132" s="12">
        <v>15</v>
      </c>
      <c r="J132" s="13"/>
      <c r="K132" s="36">
        <v>45719</v>
      </c>
      <c r="L132" s="11"/>
      <c r="M132" s="11"/>
      <c r="N132" s="15"/>
      <c r="O132" s="15"/>
      <c r="P132" s="15"/>
      <c r="Q132" s="15"/>
      <c r="R132" s="15"/>
      <c r="S132" s="15"/>
      <c r="T132" s="16" t="str">
        <f ca="1">IF($U132="","",IF($U132&lt;=3,"Excellent",IF($U132&lt;=7,"Good",IF($U132&lt;=14,"Average",IF($U132&lt;=30,"Poor",IF($U132&gt;=30,"Bad"))))))</f>
        <v/>
      </c>
      <c r="U132" s="16" t="str">
        <f ca="1">IF(E132="Document", IF(G132="", "", TODAY() - G132), "")</f>
        <v/>
      </c>
      <c r="V132" s="16"/>
      <c r="W132" s="16"/>
      <c r="X132" s="17" t="s">
        <v>34</v>
      </c>
      <c r="Y132" s="10"/>
      <c r="Z132" s="10"/>
      <c r="AA132" s="18"/>
      <c r="AD132" s="6" t="s">
        <v>35</v>
      </c>
      <c r="AE132" s="19" t="s">
        <v>36</v>
      </c>
    </row>
    <row r="133" spans="1:31" ht="14.4" x14ac:dyDescent="0.3">
      <c r="A133" s="21">
        <v>5059</v>
      </c>
      <c r="B133" s="26" t="s">
        <v>198</v>
      </c>
      <c r="C133" s="8">
        <v>278</v>
      </c>
      <c r="D133" s="9" t="s">
        <v>69</v>
      </c>
      <c r="E133" s="6" t="s">
        <v>33</v>
      </c>
      <c r="F133" s="27">
        <v>46058</v>
      </c>
      <c r="G133" s="27">
        <v>46058</v>
      </c>
      <c r="H133" s="29">
        <v>20</v>
      </c>
      <c r="I133" s="30">
        <v>20</v>
      </c>
      <c r="J133" s="21"/>
      <c r="K133" s="31">
        <v>46059</v>
      </c>
      <c r="L133" s="29"/>
      <c r="M133" s="29"/>
      <c r="N133" s="32">
        <v>46059</v>
      </c>
      <c r="O133" s="33"/>
      <c r="P133" s="33"/>
      <c r="Q133" s="34"/>
      <c r="R133" s="34" t="str">
        <f>IF(Q133,Q133-K133,"")</f>
        <v/>
      </c>
      <c r="S133" s="34" t="str">
        <f>IF(R133="","",IF(R133&lt;=4,"Excellent",IF(R133&lt;=8,"Good",IF(R133&lt;=15,"Average",IF(R133&lt;=30,"Poor",IF(R133&gt;=30,"Bad"))))))</f>
        <v/>
      </c>
      <c r="T133" s="29" t="str">
        <f ca="1">IF(U133="","",IF(U133&lt;=3,"Excellent",IF(U133&lt;=7,"Good",IF(U133&lt;=14,"Average",IF(U133&lt;=30,"Poor",IF(U133&gt;=30,"Bad"))))))</f>
        <v/>
      </c>
      <c r="U133" s="29" t="str">
        <f ca="1">IF(E133="Document", IF(#REF!="", "", TODAY() -#REF!), "")</f>
        <v/>
      </c>
      <c r="V133" s="29"/>
      <c r="W133" s="16" t="s">
        <v>199</v>
      </c>
      <c r="X133" s="16" t="s">
        <v>200</v>
      </c>
      <c r="Y133" s="21"/>
      <c r="Z133" s="21"/>
      <c r="AD133" s="21" t="s">
        <v>35</v>
      </c>
      <c r="AE133" s="19" t="s">
        <v>36</v>
      </c>
    </row>
    <row r="134" spans="1:31" ht="14.4" x14ac:dyDescent="0.3">
      <c r="A134" s="21">
        <v>4769</v>
      </c>
      <c r="B134" s="7" t="s">
        <v>201</v>
      </c>
      <c r="C134" s="8">
        <v>278</v>
      </c>
      <c r="D134" s="9" t="s">
        <v>202</v>
      </c>
      <c r="E134" s="21" t="s">
        <v>33</v>
      </c>
      <c r="F134" s="10">
        <v>45854</v>
      </c>
      <c r="G134" s="10">
        <v>45860</v>
      </c>
      <c r="H134" s="22">
        <v>33</v>
      </c>
      <c r="I134" s="23">
        <v>33</v>
      </c>
      <c r="J134" s="24"/>
      <c r="K134" s="14">
        <v>45863</v>
      </c>
      <c r="L134" s="22"/>
      <c r="M134" s="22"/>
      <c r="N134" s="15"/>
      <c r="O134" s="15"/>
      <c r="P134" s="15"/>
      <c r="Q134" s="15"/>
      <c r="R134" s="15"/>
      <c r="S134" s="15"/>
      <c r="T134" s="25" t="str">
        <f t="shared" ref="T134:T136" ca="1" si="69">IF($U134="","",IF($U134&lt;=3,"Excellent",IF($U134&lt;=7,"Good",IF($U134&lt;=14,"Average",IF($U134&lt;=30,"Poor",IF($U134&gt;=30,"Bad"))))))</f>
        <v/>
      </c>
      <c r="U134" s="25" t="str">
        <f t="shared" ref="U134:U136" ca="1" si="70">IF(E134="Document", IF(G134="", "", TODAY() - G134), "")</f>
        <v/>
      </c>
      <c r="V134" s="25"/>
      <c r="W134" s="26" t="s">
        <v>203</v>
      </c>
      <c r="X134" s="26" t="s">
        <v>204</v>
      </c>
      <c r="Y134" s="27"/>
      <c r="Z134" s="27"/>
      <c r="AA134" s="28"/>
      <c r="AD134" s="21" t="s">
        <v>35</v>
      </c>
      <c r="AE134" s="19" t="s">
        <v>36</v>
      </c>
    </row>
    <row r="135" spans="1:31" ht="14.4" x14ac:dyDescent="0.3">
      <c r="A135" s="21">
        <v>4930</v>
      </c>
      <c r="B135" s="37" t="s">
        <v>205</v>
      </c>
      <c r="C135" s="8">
        <v>278</v>
      </c>
      <c r="D135" s="9" t="s">
        <v>57</v>
      </c>
      <c r="E135" s="21" t="s">
        <v>46</v>
      </c>
      <c r="F135" s="42">
        <v>45989</v>
      </c>
      <c r="G135" s="42">
        <v>45989</v>
      </c>
      <c r="H135" s="25"/>
      <c r="I135" s="39"/>
      <c r="J135" s="40"/>
      <c r="K135" s="41"/>
      <c r="L135" s="25"/>
      <c r="M135" s="25"/>
      <c r="N135" s="15"/>
      <c r="O135" s="15"/>
      <c r="P135" s="15"/>
      <c r="Q135" s="15"/>
      <c r="R135" s="15"/>
      <c r="S135" s="15"/>
      <c r="T135" s="22" t="str">
        <f t="shared" ca="1" si="69"/>
        <v>Bad</v>
      </c>
      <c r="U135" s="21">
        <f t="shared" ca="1" si="70"/>
        <v>146</v>
      </c>
      <c r="V135" s="25"/>
      <c r="W135" s="25"/>
      <c r="X135" s="25"/>
      <c r="Y135" s="27"/>
      <c r="Z135" s="27"/>
      <c r="AA135" s="28"/>
      <c r="AD135" s="21" t="s">
        <v>35</v>
      </c>
      <c r="AE135" s="19" t="s">
        <v>36</v>
      </c>
    </row>
    <row r="136" spans="1:31" ht="14.4" x14ac:dyDescent="0.3">
      <c r="A136" s="21">
        <v>4850</v>
      </c>
      <c r="B136" s="37" t="s">
        <v>37</v>
      </c>
      <c r="C136" s="8">
        <v>285</v>
      </c>
      <c r="D136" s="9" t="s">
        <v>38</v>
      </c>
      <c r="E136" s="21" t="s">
        <v>33</v>
      </c>
      <c r="F136" s="66">
        <v>45931</v>
      </c>
      <c r="G136" s="66">
        <v>45932</v>
      </c>
      <c r="H136" s="22">
        <v>200</v>
      </c>
      <c r="I136" s="23">
        <v>285</v>
      </c>
      <c r="J136" s="24"/>
      <c r="K136" s="14">
        <v>45938</v>
      </c>
      <c r="L136" s="22"/>
      <c r="M136" s="22"/>
      <c r="N136" s="15"/>
      <c r="O136" s="15"/>
      <c r="P136" s="15"/>
      <c r="Q136" s="15"/>
      <c r="R136" s="15"/>
      <c r="S136" s="15"/>
      <c r="T136" s="25" t="str">
        <f t="shared" ca="1" si="69"/>
        <v/>
      </c>
      <c r="U136" s="25" t="str">
        <f t="shared" ca="1" si="70"/>
        <v/>
      </c>
      <c r="V136" s="21">
        <f>2</f>
        <v>2</v>
      </c>
      <c r="W136" s="26" t="s">
        <v>206</v>
      </c>
      <c r="X136" s="26" t="s">
        <v>102</v>
      </c>
      <c r="Y136" s="27"/>
      <c r="Z136" s="27"/>
      <c r="AA136" s="28"/>
      <c r="AD136" s="21" t="s">
        <v>35</v>
      </c>
      <c r="AE136" s="19" t="s">
        <v>36</v>
      </c>
    </row>
    <row r="137" spans="1:31" ht="14.4" x14ac:dyDescent="0.3">
      <c r="A137" s="21">
        <v>5031</v>
      </c>
      <c r="B137" s="26" t="s">
        <v>207</v>
      </c>
      <c r="C137" s="8">
        <v>301</v>
      </c>
      <c r="D137" s="9" t="s">
        <v>57</v>
      </c>
      <c r="E137" s="6" t="s">
        <v>33</v>
      </c>
      <c r="F137" s="27">
        <v>46062</v>
      </c>
      <c r="G137" s="27">
        <v>46062</v>
      </c>
      <c r="H137" s="29">
        <v>122</v>
      </c>
      <c r="I137" s="30">
        <v>122</v>
      </c>
      <c r="J137" s="21"/>
      <c r="K137" s="31">
        <v>46066</v>
      </c>
      <c r="L137" s="29"/>
      <c r="M137" s="29"/>
      <c r="N137" s="32">
        <v>46069</v>
      </c>
      <c r="O137" s="33"/>
      <c r="P137" s="33"/>
      <c r="Q137" s="34"/>
      <c r="R137" s="34" t="str">
        <f t="shared" ref="R137:R139" si="71">IF(Q137,Q137-K137,"")</f>
        <v/>
      </c>
      <c r="S137" s="34" t="str">
        <f t="shared" ref="S137:S139" si="72">IF(R137="","",IF(R137&lt;=4,"Excellent",IF(R137&lt;=8,"Good",IF(R137&lt;=15,"Average",IF(R137&lt;=30,"Poor",IF(R137&gt;=30,"Bad"))))))</f>
        <v/>
      </c>
      <c r="T137" s="29" t="str">
        <f t="shared" ref="T137:T140" ca="1" si="73">IF(U137="","",IF(U137&lt;=3,"Excellent",IF(U137&lt;=7,"Good",IF(U137&lt;=14,"Average",IF(U137&lt;=30,"Poor",IF(U137&gt;=30,"Bad"))))))</f>
        <v/>
      </c>
      <c r="U137" s="29" t="str">
        <f ca="1">IF(E137="Document", IF(#REF!="", "", TODAY() -#REF!), "")</f>
        <v/>
      </c>
      <c r="V137" s="29"/>
      <c r="W137" s="16" t="s">
        <v>200</v>
      </c>
      <c r="X137" s="16" t="s">
        <v>208</v>
      </c>
      <c r="Y137" s="21"/>
      <c r="Z137" s="21"/>
      <c r="AD137" s="21" t="s">
        <v>35</v>
      </c>
      <c r="AE137" s="19" t="s">
        <v>36</v>
      </c>
    </row>
    <row r="138" spans="1:31" ht="14.4" x14ac:dyDescent="0.3">
      <c r="A138" s="21">
        <v>5031</v>
      </c>
      <c r="B138" s="26" t="s">
        <v>209</v>
      </c>
      <c r="C138" s="8">
        <v>301</v>
      </c>
      <c r="D138" s="9" t="s">
        <v>57</v>
      </c>
      <c r="E138" s="6" t="s">
        <v>33</v>
      </c>
      <c r="F138" s="27">
        <v>46063</v>
      </c>
      <c r="G138" s="27">
        <v>46064</v>
      </c>
      <c r="H138" s="29">
        <v>122</v>
      </c>
      <c r="I138" s="30">
        <v>122</v>
      </c>
      <c r="J138" s="21"/>
      <c r="K138" s="31">
        <v>46066</v>
      </c>
      <c r="L138" s="29"/>
      <c r="M138" s="29"/>
      <c r="N138" s="32">
        <v>46069</v>
      </c>
      <c r="O138" s="33"/>
      <c r="P138" s="33"/>
      <c r="Q138" s="34"/>
      <c r="R138" s="34" t="str">
        <f t="shared" si="71"/>
        <v/>
      </c>
      <c r="S138" s="34" t="str">
        <f t="shared" si="72"/>
        <v/>
      </c>
      <c r="T138" s="29" t="str">
        <f t="shared" ca="1" si="73"/>
        <v/>
      </c>
      <c r="U138" s="29" t="str">
        <f ca="1">IF(E138="Document", IF(#REF!="", "", TODAY() -#REF!), "")</f>
        <v/>
      </c>
      <c r="V138" s="29"/>
      <c r="W138" s="16" t="s">
        <v>200</v>
      </c>
      <c r="X138" s="16" t="s">
        <v>208</v>
      </c>
      <c r="Y138" s="21"/>
      <c r="Z138" s="21"/>
      <c r="AD138" s="21" t="s">
        <v>35</v>
      </c>
      <c r="AE138" s="19" t="s">
        <v>36</v>
      </c>
    </row>
    <row r="139" spans="1:31" ht="14.4" x14ac:dyDescent="0.3">
      <c r="A139" s="8">
        <v>4992</v>
      </c>
      <c r="B139" s="43" t="s">
        <v>210</v>
      </c>
      <c r="C139" s="8">
        <v>305</v>
      </c>
      <c r="D139" s="44" t="s">
        <v>69</v>
      </c>
      <c r="E139" s="8" t="s">
        <v>33</v>
      </c>
      <c r="F139" s="45">
        <v>46028</v>
      </c>
      <c r="G139" s="45">
        <v>46028</v>
      </c>
      <c r="H139" s="46">
        <v>20</v>
      </c>
      <c r="I139" s="47">
        <v>35</v>
      </c>
      <c r="J139" s="8"/>
      <c r="K139" s="48">
        <v>46029</v>
      </c>
      <c r="L139" s="46"/>
      <c r="M139" s="46"/>
      <c r="N139" s="49">
        <v>46029</v>
      </c>
      <c r="O139" s="50"/>
      <c r="P139" s="50"/>
      <c r="Q139" s="51"/>
      <c r="R139" s="51" t="str">
        <f t="shared" si="71"/>
        <v/>
      </c>
      <c r="S139" s="51" t="str">
        <f t="shared" si="72"/>
        <v/>
      </c>
      <c r="T139" s="46" t="str">
        <f t="shared" ca="1" si="73"/>
        <v/>
      </c>
      <c r="U139" s="6" t="str">
        <f ca="1">IF(E139="Document", IF(#REF!="", "", TODAY() -#REF!), "")</f>
        <v/>
      </c>
      <c r="V139" s="6">
        <f>7</f>
        <v>7</v>
      </c>
      <c r="W139" s="17" t="s">
        <v>211</v>
      </c>
      <c r="X139" s="17" t="s">
        <v>141</v>
      </c>
      <c r="Y139" s="8"/>
      <c r="Z139" s="8"/>
      <c r="AD139" s="8" t="s">
        <v>35</v>
      </c>
      <c r="AE139" s="19" t="s">
        <v>36</v>
      </c>
    </row>
    <row r="140" spans="1:31" ht="14.4" x14ac:dyDescent="0.3">
      <c r="A140" s="6">
        <v>4519</v>
      </c>
      <c r="B140" s="7" t="s">
        <v>212</v>
      </c>
      <c r="C140" s="8">
        <v>305</v>
      </c>
      <c r="D140" s="9" t="s">
        <v>32</v>
      </c>
      <c r="E140" s="6" t="s">
        <v>33</v>
      </c>
      <c r="F140" s="10">
        <v>45666</v>
      </c>
      <c r="G140" s="10">
        <v>45666</v>
      </c>
      <c r="H140" s="11">
        <v>10</v>
      </c>
      <c r="I140" s="12">
        <v>20</v>
      </c>
      <c r="J140" s="13"/>
      <c r="K140" s="36">
        <v>45667</v>
      </c>
      <c r="L140" s="11"/>
      <c r="M140" s="11"/>
      <c r="N140" s="15"/>
      <c r="O140" s="15"/>
      <c r="P140" s="15"/>
      <c r="Q140" s="15"/>
      <c r="R140" s="15"/>
      <c r="S140" s="15"/>
      <c r="T140" s="16" t="str">
        <f t="shared" ca="1" si="73"/>
        <v/>
      </c>
      <c r="U140" s="16" t="str">
        <f t="shared" ref="U140:U146" ca="1" si="74">IF(E140="Document", IF(G140="", "", TODAY() - G140), "")</f>
        <v/>
      </c>
      <c r="V140" s="16"/>
      <c r="W140" s="16"/>
      <c r="X140" s="17" t="s">
        <v>34</v>
      </c>
      <c r="Y140" s="10"/>
      <c r="Z140" s="10"/>
      <c r="AA140" s="18"/>
      <c r="AD140" s="6" t="s">
        <v>35</v>
      </c>
      <c r="AE140" s="19" t="s">
        <v>36</v>
      </c>
    </row>
    <row r="141" spans="1:31" ht="14.4" x14ac:dyDescent="0.3">
      <c r="A141" s="6">
        <v>2956</v>
      </c>
      <c r="B141" s="7" t="s">
        <v>213</v>
      </c>
      <c r="C141" s="8">
        <v>305</v>
      </c>
      <c r="D141" s="9" t="s">
        <v>32</v>
      </c>
      <c r="E141" s="6" t="s">
        <v>33</v>
      </c>
      <c r="F141" s="10">
        <v>45673</v>
      </c>
      <c r="G141" s="10">
        <v>45673</v>
      </c>
      <c r="H141" s="11">
        <v>20</v>
      </c>
      <c r="I141" s="12">
        <v>20</v>
      </c>
      <c r="J141" s="13"/>
      <c r="K141" s="36">
        <v>45674</v>
      </c>
      <c r="L141" s="11"/>
      <c r="M141" s="11"/>
      <c r="N141" s="15"/>
      <c r="O141" s="15"/>
      <c r="P141" s="15"/>
      <c r="Q141" s="15"/>
      <c r="R141" s="15"/>
      <c r="S141" s="15"/>
      <c r="T141" s="16" t="str">
        <f t="shared" ref="T141:T146" ca="1" si="75">IF($U141="","",IF($U141&lt;=3,"Excellent",IF($U141&lt;=7,"Good",IF($U141&lt;=14,"Average",IF($U141&lt;=30,"Poor",IF($U141&gt;=30,"Bad"))))))</f>
        <v/>
      </c>
      <c r="U141" s="16" t="str">
        <f t="shared" ca="1" si="74"/>
        <v/>
      </c>
      <c r="V141" s="16"/>
      <c r="W141" s="16"/>
      <c r="X141" s="17" t="s">
        <v>34</v>
      </c>
      <c r="Y141" s="10"/>
      <c r="Z141" s="10"/>
      <c r="AA141" s="18"/>
      <c r="AD141" s="6" t="s">
        <v>35</v>
      </c>
      <c r="AE141" s="19" t="s">
        <v>36</v>
      </c>
    </row>
    <row r="142" spans="1:31" ht="14.4" x14ac:dyDescent="0.3">
      <c r="A142" s="21">
        <v>4838</v>
      </c>
      <c r="B142" s="7" t="s">
        <v>37</v>
      </c>
      <c r="C142" s="8">
        <v>306</v>
      </c>
      <c r="D142" s="9" t="s">
        <v>38</v>
      </c>
      <c r="E142" s="21" t="s">
        <v>33</v>
      </c>
      <c r="F142" s="10">
        <v>45916</v>
      </c>
      <c r="G142" s="10">
        <v>45929</v>
      </c>
      <c r="H142" s="22">
        <v>338</v>
      </c>
      <c r="I142" s="23">
        <v>338</v>
      </c>
      <c r="J142" s="24"/>
      <c r="K142" s="14">
        <v>45929</v>
      </c>
      <c r="L142" s="22"/>
      <c r="M142" s="22"/>
      <c r="N142" s="15"/>
      <c r="O142" s="15"/>
      <c r="P142" s="15"/>
      <c r="Q142" s="15"/>
      <c r="R142" s="15"/>
      <c r="S142" s="15"/>
      <c r="T142" s="25" t="str">
        <f t="shared" ca="1" si="75"/>
        <v/>
      </c>
      <c r="U142" s="25" t="str">
        <f t="shared" ca="1" si="74"/>
        <v/>
      </c>
      <c r="V142" s="25"/>
      <c r="W142" s="26" t="s">
        <v>214</v>
      </c>
      <c r="X142" s="26" t="s">
        <v>59</v>
      </c>
      <c r="Y142" s="27"/>
      <c r="Z142" s="27"/>
      <c r="AA142" s="28"/>
      <c r="AD142" s="21" t="s">
        <v>35</v>
      </c>
      <c r="AE142" s="19" t="s">
        <v>36</v>
      </c>
    </row>
    <row r="143" spans="1:31" ht="14.4" x14ac:dyDescent="0.3">
      <c r="A143" s="6">
        <v>4526</v>
      </c>
      <c r="B143" s="7" t="s">
        <v>215</v>
      </c>
      <c r="C143" s="8">
        <v>308</v>
      </c>
      <c r="D143" s="9" t="s">
        <v>76</v>
      </c>
      <c r="E143" s="6" t="s">
        <v>33</v>
      </c>
      <c r="F143" s="10">
        <v>45672</v>
      </c>
      <c r="G143" s="10">
        <v>45673</v>
      </c>
      <c r="H143" s="11">
        <v>22</v>
      </c>
      <c r="I143" s="12">
        <v>22</v>
      </c>
      <c r="J143" s="13"/>
      <c r="K143" s="36">
        <v>45673</v>
      </c>
      <c r="L143" s="11"/>
      <c r="M143" s="11"/>
      <c r="N143" s="15"/>
      <c r="O143" s="15"/>
      <c r="P143" s="15"/>
      <c r="Q143" s="15"/>
      <c r="R143" s="15"/>
      <c r="S143" s="15"/>
      <c r="T143" s="16" t="str">
        <f t="shared" ca="1" si="75"/>
        <v/>
      </c>
      <c r="U143" s="16" t="str">
        <f t="shared" ca="1" si="74"/>
        <v/>
      </c>
      <c r="V143" s="16"/>
      <c r="W143" s="16"/>
      <c r="X143" s="17" t="s">
        <v>34</v>
      </c>
      <c r="Y143" s="10"/>
      <c r="Z143" s="10"/>
      <c r="AA143" s="18"/>
      <c r="AD143" s="6" t="s">
        <v>35</v>
      </c>
      <c r="AE143" s="19" t="s">
        <v>36</v>
      </c>
    </row>
    <row r="144" spans="1:31" ht="14.4" x14ac:dyDescent="0.3">
      <c r="A144" s="21">
        <v>4737</v>
      </c>
      <c r="B144" s="7" t="s">
        <v>216</v>
      </c>
      <c r="C144" s="8">
        <v>311</v>
      </c>
      <c r="D144" s="9" t="s">
        <v>32</v>
      </c>
      <c r="E144" s="21" t="s">
        <v>33</v>
      </c>
      <c r="F144" s="10">
        <v>45852</v>
      </c>
      <c r="G144" s="10">
        <v>45869</v>
      </c>
      <c r="H144" s="22">
        <v>217</v>
      </c>
      <c r="I144" s="23">
        <v>217</v>
      </c>
      <c r="J144" s="24"/>
      <c r="K144" s="14">
        <v>45870</v>
      </c>
      <c r="L144" s="22"/>
      <c r="M144" s="22"/>
      <c r="N144" s="15"/>
      <c r="O144" s="15"/>
      <c r="P144" s="15"/>
      <c r="Q144" s="15"/>
      <c r="R144" s="15"/>
      <c r="S144" s="15"/>
      <c r="T144" s="25" t="str">
        <f t="shared" ca="1" si="75"/>
        <v/>
      </c>
      <c r="U144" s="25" t="str">
        <f t="shared" ca="1" si="74"/>
        <v/>
      </c>
      <c r="V144" s="25"/>
      <c r="W144" s="26" t="s">
        <v>217</v>
      </c>
      <c r="X144" s="26" t="s">
        <v>100</v>
      </c>
      <c r="Y144" s="27"/>
      <c r="Z144" s="27"/>
      <c r="AA144" s="28"/>
      <c r="AD144" s="21" t="s">
        <v>35</v>
      </c>
      <c r="AE144" s="19" t="s">
        <v>36</v>
      </c>
    </row>
    <row r="145" spans="1:31" ht="14.4" x14ac:dyDescent="0.3">
      <c r="A145" s="6">
        <v>4568</v>
      </c>
      <c r="B145" s="7" t="s">
        <v>143</v>
      </c>
      <c r="C145" s="8">
        <v>314</v>
      </c>
      <c r="D145" s="9" t="s">
        <v>76</v>
      </c>
      <c r="E145" s="6" t="s">
        <v>46</v>
      </c>
      <c r="F145" s="10">
        <v>45716</v>
      </c>
      <c r="G145" s="10">
        <v>45718</v>
      </c>
      <c r="H145" s="16"/>
      <c r="I145" s="53"/>
      <c r="J145" s="54"/>
      <c r="K145" s="41"/>
      <c r="L145" s="11"/>
      <c r="M145" s="11"/>
      <c r="N145" s="15"/>
      <c r="O145" s="15"/>
      <c r="P145" s="15"/>
      <c r="Q145" s="15"/>
      <c r="R145" s="15"/>
      <c r="S145" s="15"/>
      <c r="T145" s="11" t="str">
        <f t="shared" ca="1" si="75"/>
        <v>Bad</v>
      </c>
      <c r="U145" s="6">
        <f t="shared" ca="1" si="74"/>
        <v>417</v>
      </c>
      <c r="V145" s="6">
        <f>109</f>
        <v>109</v>
      </c>
      <c r="W145" s="16"/>
      <c r="X145" s="16"/>
      <c r="Y145" s="10"/>
      <c r="Z145" s="10"/>
      <c r="AA145" s="18"/>
      <c r="AD145" s="6" t="s">
        <v>35</v>
      </c>
      <c r="AE145" s="19" t="s">
        <v>36</v>
      </c>
    </row>
    <row r="146" spans="1:31" ht="14.4" x14ac:dyDescent="0.3">
      <c r="A146" s="6">
        <v>4596</v>
      </c>
      <c r="B146" s="7" t="s">
        <v>47</v>
      </c>
      <c r="C146" s="8">
        <v>315</v>
      </c>
      <c r="D146" s="9" t="s">
        <v>32</v>
      </c>
      <c r="E146" s="6" t="s">
        <v>33</v>
      </c>
      <c r="F146" s="10">
        <v>45726</v>
      </c>
      <c r="G146" s="10">
        <v>45732</v>
      </c>
      <c r="H146" s="11">
        <v>100</v>
      </c>
      <c r="I146" s="12">
        <v>130</v>
      </c>
      <c r="J146" s="13"/>
      <c r="K146" s="14">
        <v>45734</v>
      </c>
      <c r="L146" s="11"/>
      <c r="M146" s="11"/>
      <c r="N146" s="15"/>
      <c r="O146" s="15"/>
      <c r="P146" s="15"/>
      <c r="Q146" s="15"/>
      <c r="R146" s="15"/>
      <c r="S146" s="15"/>
      <c r="T146" s="16" t="str">
        <f t="shared" ca="1" si="75"/>
        <v/>
      </c>
      <c r="U146" s="16" t="str">
        <f t="shared" ca="1" si="74"/>
        <v/>
      </c>
      <c r="V146" s="16"/>
      <c r="W146" s="17" t="s">
        <v>106</v>
      </c>
      <c r="X146" s="17" t="s">
        <v>218</v>
      </c>
      <c r="Y146" s="10"/>
      <c r="Z146" s="10"/>
      <c r="AA146" s="18"/>
      <c r="AD146" s="6" t="s">
        <v>35</v>
      </c>
      <c r="AE146" s="19" t="s">
        <v>36</v>
      </c>
    </row>
    <row r="147" spans="1:31" ht="14.4" x14ac:dyDescent="0.3">
      <c r="A147" s="21">
        <v>5098</v>
      </c>
      <c r="B147" s="26" t="s">
        <v>219</v>
      </c>
      <c r="C147" s="8">
        <v>316</v>
      </c>
      <c r="D147" s="9" t="s">
        <v>32</v>
      </c>
      <c r="E147" s="21" t="s">
        <v>33</v>
      </c>
      <c r="F147" s="27">
        <v>46088</v>
      </c>
      <c r="G147" s="27">
        <v>46095</v>
      </c>
      <c r="H147" s="29">
        <v>224</v>
      </c>
      <c r="I147" s="30">
        <v>224</v>
      </c>
      <c r="J147" s="21"/>
      <c r="K147" s="31">
        <v>46098</v>
      </c>
      <c r="L147" s="29"/>
      <c r="M147" s="29"/>
      <c r="N147" s="32">
        <v>46098</v>
      </c>
      <c r="O147" s="33"/>
      <c r="P147" s="33"/>
      <c r="Q147" s="34"/>
      <c r="R147" s="34" t="str">
        <f>IF(Q147,Q147-K147,"")</f>
        <v/>
      </c>
      <c r="S147" s="34" t="str">
        <f>IF(R147="","",IF(R147&lt;=4,"Excellent",IF(R147&lt;=8,"Good",IF(R147&lt;=15,"Average",IF(R147&lt;=30,"Poor",IF(R147&gt;=30,"Bad"))))))</f>
        <v/>
      </c>
      <c r="T147" s="29" t="str">
        <f t="shared" ref="T147:T148" ca="1" si="76">IF(U147="","",IF(U147&lt;=3,"Excellent",IF(U147&lt;=7,"Good",IF(U147&lt;=14,"Average",IF(U147&lt;=30,"Poor",IF(U147&gt;=30,"Bad"))))))</f>
        <v/>
      </c>
      <c r="U147" s="29" t="str">
        <f ca="1">IF(E147="Document", IF(#REF!="", "", TODAY() -#REF!), "")</f>
        <v/>
      </c>
      <c r="V147" s="29">
        <f>3</f>
        <v>3</v>
      </c>
      <c r="W147" s="16" t="s">
        <v>220</v>
      </c>
      <c r="X147" s="16" t="s">
        <v>141</v>
      </c>
      <c r="Y147" s="21"/>
      <c r="Z147" s="21"/>
      <c r="AD147" s="21" t="s">
        <v>35</v>
      </c>
      <c r="AE147" s="19" t="s">
        <v>36</v>
      </c>
    </row>
    <row r="148" spans="1:31" ht="14.4" x14ac:dyDescent="0.3">
      <c r="A148" s="6">
        <v>4509</v>
      </c>
      <c r="B148" s="7" t="s">
        <v>73</v>
      </c>
      <c r="C148" s="8">
        <v>316</v>
      </c>
      <c r="D148" s="9" t="s">
        <v>32</v>
      </c>
      <c r="E148" s="6" t="s">
        <v>33</v>
      </c>
      <c r="F148" s="10">
        <v>45663</v>
      </c>
      <c r="G148" s="10">
        <v>45674</v>
      </c>
      <c r="H148" s="11">
        <v>180</v>
      </c>
      <c r="I148" s="12">
        <v>220</v>
      </c>
      <c r="J148" s="13"/>
      <c r="K148" s="14">
        <v>45677</v>
      </c>
      <c r="L148" s="11"/>
      <c r="M148" s="11"/>
      <c r="N148" s="15"/>
      <c r="O148" s="15"/>
      <c r="P148" s="15"/>
      <c r="Q148" s="15"/>
      <c r="R148" s="15"/>
      <c r="S148" s="15"/>
      <c r="T148" s="16" t="str">
        <f t="shared" ca="1" si="76"/>
        <v/>
      </c>
      <c r="U148" s="16" t="str">
        <f t="shared" ref="U148:U153" ca="1" si="77">IF(E148="Document", IF(G148="", "", TODAY() - G148), "")</f>
        <v/>
      </c>
      <c r="V148" s="16"/>
      <c r="W148" s="16"/>
      <c r="X148" s="17" t="s">
        <v>34</v>
      </c>
      <c r="Y148" s="10"/>
      <c r="Z148" s="10"/>
      <c r="AA148" s="18"/>
      <c r="AD148" s="6" t="s">
        <v>35</v>
      </c>
      <c r="AE148" s="19" t="s">
        <v>36</v>
      </c>
    </row>
    <row r="149" spans="1:31" ht="14.4" x14ac:dyDescent="0.3">
      <c r="A149" s="6">
        <v>4591</v>
      </c>
      <c r="B149" s="7" t="s">
        <v>84</v>
      </c>
      <c r="C149" s="8">
        <v>316</v>
      </c>
      <c r="D149" s="9" t="s">
        <v>38</v>
      </c>
      <c r="E149" s="6" t="s">
        <v>33</v>
      </c>
      <c r="F149" s="10">
        <v>45715</v>
      </c>
      <c r="G149" s="10">
        <v>45716</v>
      </c>
      <c r="H149" s="11">
        <v>180</v>
      </c>
      <c r="I149" s="12">
        <v>265</v>
      </c>
      <c r="J149" s="13"/>
      <c r="K149" s="36">
        <v>45719</v>
      </c>
      <c r="L149" s="11"/>
      <c r="M149" s="11"/>
      <c r="N149" s="15"/>
      <c r="O149" s="15"/>
      <c r="P149" s="15"/>
      <c r="Q149" s="15"/>
      <c r="R149" s="15"/>
      <c r="S149" s="15"/>
      <c r="T149" s="16" t="str">
        <f t="shared" ref="T149:T153" ca="1" si="78">IF($U149="","",IF($U149&lt;=3,"Excellent",IF($U149&lt;=7,"Good",IF($U149&lt;=14,"Average",IF($U149&lt;=30,"Poor",IF($U149&gt;=30,"Bad"))))))</f>
        <v/>
      </c>
      <c r="U149" s="16" t="str">
        <f t="shared" ca="1" si="77"/>
        <v/>
      </c>
      <c r="V149" s="16"/>
      <c r="W149" s="16"/>
      <c r="X149" s="17" t="s">
        <v>34</v>
      </c>
      <c r="Y149" s="10"/>
      <c r="Z149" s="10"/>
      <c r="AA149" s="18"/>
      <c r="AD149" s="6" t="s">
        <v>35</v>
      </c>
      <c r="AE149" s="19" t="s">
        <v>36</v>
      </c>
    </row>
    <row r="150" spans="1:31" ht="14.4" x14ac:dyDescent="0.3">
      <c r="A150" s="21">
        <v>4959</v>
      </c>
      <c r="B150" s="37" t="s">
        <v>37</v>
      </c>
      <c r="C150" s="8">
        <v>316</v>
      </c>
      <c r="D150" s="9" t="s">
        <v>38</v>
      </c>
      <c r="E150" s="21" t="s">
        <v>77</v>
      </c>
      <c r="F150" s="38">
        <v>46007</v>
      </c>
      <c r="G150" s="38">
        <v>46010</v>
      </c>
      <c r="H150" s="22">
        <v>85</v>
      </c>
      <c r="I150" s="23">
        <v>180</v>
      </c>
      <c r="J150" s="24"/>
      <c r="K150" s="14">
        <v>46013</v>
      </c>
      <c r="L150" s="22"/>
      <c r="M150" s="22"/>
      <c r="N150" s="15"/>
      <c r="O150" s="15"/>
      <c r="P150" s="15"/>
      <c r="Q150" s="15"/>
      <c r="R150" s="15"/>
      <c r="S150" s="15"/>
      <c r="T150" s="25" t="str">
        <f t="shared" ca="1" si="78"/>
        <v/>
      </c>
      <c r="U150" s="25" t="str">
        <f t="shared" ca="1" si="77"/>
        <v/>
      </c>
      <c r="V150" s="25"/>
      <c r="W150" s="26" t="s">
        <v>221</v>
      </c>
      <c r="X150" s="25"/>
      <c r="Y150" s="27"/>
      <c r="Z150" s="27"/>
      <c r="AA150" s="28"/>
      <c r="AD150" s="21" t="s">
        <v>35</v>
      </c>
      <c r="AE150" s="19" t="s">
        <v>36</v>
      </c>
    </row>
    <row r="151" spans="1:31" ht="14.4" x14ac:dyDescent="0.3">
      <c r="A151" s="21">
        <v>4857</v>
      </c>
      <c r="B151" s="37" t="s">
        <v>222</v>
      </c>
      <c r="C151" s="8">
        <v>318</v>
      </c>
      <c r="D151" s="9" t="s">
        <v>32</v>
      </c>
      <c r="E151" s="21" t="s">
        <v>62</v>
      </c>
      <c r="F151" s="66">
        <v>45932</v>
      </c>
      <c r="G151" s="66">
        <v>45945</v>
      </c>
      <c r="H151" s="25"/>
      <c r="I151" s="39"/>
      <c r="J151" s="40"/>
      <c r="K151" s="41"/>
      <c r="L151" s="25"/>
      <c r="M151" s="25"/>
      <c r="N151" s="15"/>
      <c r="O151" s="15"/>
      <c r="P151" s="15"/>
      <c r="Q151" s="15"/>
      <c r="R151" s="15"/>
      <c r="S151" s="15"/>
      <c r="T151" s="25" t="str">
        <f t="shared" ca="1" si="78"/>
        <v/>
      </c>
      <c r="U151" s="25" t="str">
        <f t="shared" ca="1" si="77"/>
        <v/>
      </c>
      <c r="V151" s="25"/>
      <c r="W151" s="25"/>
      <c r="X151" s="25"/>
      <c r="Y151" s="27"/>
      <c r="Z151" s="27"/>
      <c r="AA151" s="28"/>
      <c r="AD151" s="21" t="s">
        <v>35</v>
      </c>
      <c r="AE151" s="19" t="s">
        <v>36</v>
      </c>
    </row>
    <row r="152" spans="1:31" ht="14.4" x14ac:dyDescent="0.3">
      <c r="A152" s="21">
        <v>4878</v>
      </c>
      <c r="B152" s="37" t="s">
        <v>223</v>
      </c>
      <c r="C152" s="8">
        <v>318</v>
      </c>
      <c r="D152" s="9" t="s">
        <v>32</v>
      </c>
      <c r="E152" s="6" t="s">
        <v>33</v>
      </c>
      <c r="F152" s="42">
        <v>45951</v>
      </c>
      <c r="G152" s="42">
        <v>45964</v>
      </c>
      <c r="H152" s="22">
        <v>203</v>
      </c>
      <c r="I152" s="23">
        <v>213</v>
      </c>
      <c r="J152" s="24"/>
      <c r="K152" s="14">
        <v>45965</v>
      </c>
      <c r="L152" s="22"/>
      <c r="M152" s="22"/>
      <c r="N152" s="15"/>
      <c r="O152" s="15"/>
      <c r="P152" s="15"/>
      <c r="Q152" s="15"/>
      <c r="R152" s="15"/>
      <c r="S152" s="15"/>
      <c r="T152" s="25" t="str">
        <f t="shared" ca="1" si="78"/>
        <v/>
      </c>
      <c r="U152" s="25" t="str">
        <f t="shared" ca="1" si="77"/>
        <v/>
      </c>
      <c r="V152" s="25"/>
      <c r="W152" s="26" t="s">
        <v>224</v>
      </c>
      <c r="X152" s="26" t="s">
        <v>87</v>
      </c>
      <c r="Y152" s="27"/>
      <c r="Z152" s="27"/>
      <c r="AA152" s="28"/>
      <c r="AD152" s="21" t="s">
        <v>35</v>
      </c>
      <c r="AE152" s="19" t="s">
        <v>36</v>
      </c>
    </row>
    <row r="153" spans="1:31" ht="14.4" x14ac:dyDescent="0.3">
      <c r="A153" s="21">
        <v>4878</v>
      </c>
      <c r="B153" s="37" t="s">
        <v>223</v>
      </c>
      <c r="C153" s="8">
        <v>318</v>
      </c>
      <c r="D153" s="9" t="s">
        <v>32</v>
      </c>
      <c r="E153" s="6" t="s">
        <v>33</v>
      </c>
      <c r="F153" s="42">
        <v>45951</v>
      </c>
      <c r="G153" s="42">
        <v>45963</v>
      </c>
      <c r="H153" s="22">
        <v>203</v>
      </c>
      <c r="I153" s="23">
        <v>213</v>
      </c>
      <c r="J153" s="24"/>
      <c r="K153" s="14">
        <v>45965</v>
      </c>
      <c r="L153" s="22"/>
      <c r="M153" s="22"/>
      <c r="N153" s="15"/>
      <c r="O153" s="15"/>
      <c r="P153" s="15"/>
      <c r="Q153" s="15"/>
      <c r="R153" s="15"/>
      <c r="S153" s="15"/>
      <c r="T153" s="25" t="str">
        <f t="shared" ca="1" si="78"/>
        <v/>
      </c>
      <c r="U153" s="25" t="str">
        <f t="shared" ca="1" si="77"/>
        <v/>
      </c>
      <c r="V153" s="25"/>
      <c r="W153" s="26" t="s">
        <v>224</v>
      </c>
      <c r="X153" s="26" t="s">
        <v>87</v>
      </c>
      <c r="Y153" s="27"/>
      <c r="Z153" s="27"/>
      <c r="AA153" s="28"/>
      <c r="AD153" s="21" t="s">
        <v>35</v>
      </c>
      <c r="AE153" s="19" t="s">
        <v>36</v>
      </c>
    </row>
    <row r="154" spans="1:31" ht="14.4" x14ac:dyDescent="0.3">
      <c r="A154" s="8">
        <v>5002</v>
      </c>
      <c r="B154" s="43" t="s">
        <v>225</v>
      </c>
      <c r="C154" s="8">
        <v>325</v>
      </c>
      <c r="D154" s="44" t="s">
        <v>76</v>
      </c>
      <c r="E154" s="62" t="s">
        <v>33</v>
      </c>
      <c r="F154" s="45">
        <v>46030</v>
      </c>
      <c r="G154" s="45">
        <v>46030</v>
      </c>
      <c r="H154" s="46">
        <v>27</v>
      </c>
      <c r="I154" s="47">
        <v>27</v>
      </c>
      <c r="J154" s="8"/>
      <c r="K154" s="48">
        <v>46030</v>
      </c>
      <c r="L154" s="46"/>
      <c r="M154" s="46"/>
      <c r="N154" s="49">
        <v>46030</v>
      </c>
      <c r="O154" s="50"/>
      <c r="P154" s="50"/>
      <c r="Q154" s="51"/>
      <c r="R154" s="51" t="str">
        <f>IF(Q154,Q154-K154,"")</f>
        <v/>
      </c>
      <c r="S154" s="51" t="str">
        <f>IF(R154="","",IF(R154&lt;=4,"Excellent",IF(R154&lt;=8,"Good",IF(R154&lt;=15,"Average",IF(R154&lt;=30,"Poor",IF(R154&gt;=30,"Bad"))))))</f>
        <v/>
      </c>
      <c r="T154" s="46" t="str">
        <f ca="1">IF(U154="","",IF(U154&lt;=3,"Excellent",IF(U154&lt;=7,"Good",IF(U154&lt;=14,"Average",IF(U154&lt;=30,"Poor",IF(U154&gt;=30,"Bad"))))))</f>
        <v/>
      </c>
      <c r="U154" s="6" t="str">
        <f ca="1">IF(E154="Document", IF(#REF!="", "", TODAY() -#REF!), "")</f>
        <v/>
      </c>
      <c r="V154" s="6"/>
      <c r="W154" s="17" t="s">
        <v>109</v>
      </c>
      <c r="X154" s="17" t="s">
        <v>92</v>
      </c>
      <c r="Y154" s="8"/>
      <c r="Z154" s="8"/>
      <c r="AD154" s="8" t="s">
        <v>35</v>
      </c>
      <c r="AE154" s="19" t="s">
        <v>36</v>
      </c>
    </row>
    <row r="155" spans="1:31" ht="14.4" x14ac:dyDescent="0.3">
      <c r="A155" s="6">
        <v>4572</v>
      </c>
      <c r="B155" s="7" t="s">
        <v>226</v>
      </c>
      <c r="C155" s="8">
        <v>325</v>
      </c>
      <c r="D155" s="9" t="s">
        <v>32</v>
      </c>
      <c r="E155" s="6" t="s">
        <v>33</v>
      </c>
      <c r="F155" s="10">
        <v>45782</v>
      </c>
      <c r="G155" s="10">
        <v>45788</v>
      </c>
      <c r="H155" s="11">
        <v>330</v>
      </c>
      <c r="I155" s="12">
        <v>345</v>
      </c>
      <c r="J155" s="13"/>
      <c r="K155" s="14">
        <v>45788</v>
      </c>
      <c r="L155" s="11"/>
      <c r="M155" s="11"/>
      <c r="N155" s="15"/>
      <c r="O155" s="15"/>
      <c r="P155" s="15"/>
      <c r="Q155" s="15"/>
      <c r="R155" s="15"/>
      <c r="S155" s="15"/>
      <c r="T155" s="16" t="str">
        <f ca="1">IF($U155="","",IF($U155&lt;=3,"Excellent",IF($U155&lt;=7,"Good",IF($U155&lt;=14,"Average",IF($U155&lt;=30,"Poor",IF($U155&gt;=30,"Bad"))))))</f>
        <v/>
      </c>
      <c r="U155" s="16" t="str">
        <f ca="1">IF(E155="Document", IF(G155="", "", TODAY() - G155), "")</f>
        <v/>
      </c>
      <c r="V155" s="16"/>
      <c r="W155" s="16"/>
      <c r="X155" s="17" t="s">
        <v>34</v>
      </c>
      <c r="Y155" s="10"/>
      <c r="Z155" s="10"/>
      <c r="AA155" s="18"/>
      <c r="AD155" s="6" t="s">
        <v>35</v>
      </c>
      <c r="AE155" s="19" t="s">
        <v>36</v>
      </c>
    </row>
    <row r="156" spans="1:31" ht="14.4" x14ac:dyDescent="0.3">
      <c r="A156" s="21">
        <v>5123</v>
      </c>
      <c r="B156" s="26" t="s">
        <v>47</v>
      </c>
      <c r="C156" s="8">
        <v>330</v>
      </c>
      <c r="D156" s="67" t="s">
        <v>32</v>
      </c>
      <c r="E156" s="21" t="s">
        <v>62</v>
      </c>
      <c r="F156" s="27">
        <v>46132</v>
      </c>
      <c r="G156" s="27">
        <v>46138</v>
      </c>
      <c r="H156" s="29"/>
      <c r="I156" s="30"/>
      <c r="J156" s="21"/>
      <c r="K156" s="48"/>
      <c r="L156" s="29"/>
      <c r="M156" s="68"/>
      <c r="N156" s="69"/>
      <c r="O156" s="70"/>
      <c r="P156" s="70"/>
      <c r="Q156" s="71"/>
      <c r="R156" s="71" t="str">
        <f>IF(Q156,Q156-K156,"")</f>
        <v/>
      </c>
      <c r="S156" s="71" t="str">
        <f>IF(R156="","",IF(R156&lt;=4,"Excellent",IF(R156&lt;=8,"Good",IF(R156&lt;=15,"Average",IF(R156&lt;=30,"Poor",IF(R156&gt;=30,"Bad"))))))</f>
        <v/>
      </c>
      <c r="T156" s="72"/>
      <c r="U156" s="73"/>
      <c r="V156" s="73"/>
      <c r="W156" s="74"/>
      <c r="X156" s="74"/>
      <c r="Y156" s="75"/>
      <c r="Z156" s="75"/>
      <c r="AD156" s="21" t="s">
        <v>35</v>
      </c>
      <c r="AE156" s="19" t="s">
        <v>36</v>
      </c>
    </row>
    <row r="157" spans="1:31" ht="14.4" x14ac:dyDescent="0.3">
      <c r="A157" s="6">
        <v>4685</v>
      </c>
      <c r="B157" s="76" t="s">
        <v>227</v>
      </c>
      <c r="C157" s="8">
        <v>330</v>
      </c>
      <c r="D157" s="67" t="s">
        <v>32</v>
      </c>
      <c r="E157" s="6" t="s">
        <v>33</v>
      </c>
      <c r="F157" s="10">
        <v>45818</v>
      </c>
      <c r="G157" s="10">
        <v>45828</v>
      </c>
      <c r="H157" s="11">
        <v>211</v>
      </c>
      <c r="I157" s="12">
        <v>221</v>
      </c>
      <c r="J157" s="13"/>
      <c r="K157" s="14">
        <v>45831</v>
      </c>
      <c r="L157" s="11"/>
      <c r="M157" s="77"/>
      <c r="T157" s="78" t="str">
        <f t="shared" ref="T157:T158" ca="1" si="79">IF($U157="","",IF($U157&lt;=3,"Excellent",IF($U157&lt;=7,"Good",IF($U157&lt;=14,"Average",IF($U157&lt;=30,"Poor",IF($U157&gt;=30,"Bad"))))))</f>
        <v/>
      </c>
      <c r="U157" s="78" t="str">
        <f t="shared" ref="U157:U158" ca="1" si="80">IF(E157="Document", IF(G157="", "", TODAY() - G157), "")</f>
        <v/>
      </c>
      <c r="V157" s="78"/>
      <c r="W157" s="78"/>
      <c r="X157" s="74" t="s">
        <v>34</v>
      </c>
      <c r="Y157" s="18"/>
      <c r="Z157" s="18"/>
      <c r="AA157" s="18"/>
      <c r="AD157" s="6" t="s">
        <v>35</v>
      </c>
      <c r="AE157" s="19" t="s">
        <v>36</v>
      </c>
    </row>
    <row r="158" spans="1:31" ht="14.4" x14ac:dyDescent="0.3">
      <c r="A158" s="6">
        <v>4556</v>
      </c>
      <c r="B158" s="76" t="s">
        <v>228</v>
      </c>
      <c r="C158" s="8">
        <v>335</v>
      </c>
      <c r="D158" s="67" t="s">
        <v>76</v>
      </c>
      <c r="E158" s="6" t="s">
        <v>33</v>
      </c>
      <c r="F158" s="10">
        <v>45698</v>
      </c>
      <c r="G158" s="10">
        <v>45700</v>
      </c>
      <c r="H158" s="16"/>
      <c r="I158" s="53"/>
      <c r="J158" s="54"/>
      <c r="K158" s="36">
        <v>45705</v>
      </c>
      <c r="L158" s="11"/>
      <c r="M158" s="77"/>
      <c r="T158" s="78" t="str">
        <f t="shared" ca="1" si="79"/>
        <v/>
      </c>
      <c r="U158" s="78" t="str">
        <f t="shared" ca="1" si="80"/>
        <v/>
      </c>
      <c r="V158" s="78"/>
      <c r="W158" s="78"/>
      <c r="X158" s="74" t="s">
        <v>34</v>
      </c>
      <c r="Y158" s="18"/>
      <c r="Z158" s="18"/>
      <c r="AA158" s="18"/>
      <c r="AD158" s="6" t="s">
        <v>35</v>
      </c>
      <c r="AE158" s="19" t="s">
        <v>36</v>
      </c>
    </row>
    <row r="159" spans="1:31" ht="14.4" x14ac:dyDescent="0.3">
      <c r="A159" s="21">
        <v>4982</v>
      </c>
      <c r="B159" s="79" t="s">
        <v>229</v>
      </c>
      <c r="C159" s="8">
        <v>339</v>
      </c>
      <c r="D159" s="67" t="s">
        <v>38</v>
      </c>
      <c r="E159" s="59" t="s">
        <v>33</v>
      </c>
      <c r="F159" s="27">
        <v>46075</v>
      </c>
      <c r="G159" s="27">
        <v>46094</v>
      </c>
      <c r="H159" s="29">
        <v>341</v>
      </c>
      <c r="I159" s="30">
        <v>341</v>
      </c>
      <c r="J159" s="21"/>
      <c r="K159" s="31">
        <v>46098</v>
      </c>
      <c r="L159" s="29"/>
      <c r="M159" s="68"/>
      <c r="N159" s="69">
        <v>46098</v>
      </c>
      <c r="O159" s="70"/>
      <c r="P159" s="70"/>
      <c r="Q159" s="71"/>
      <c r="R159" s="71" t="str">
        <f>IF(Q159,Q159-K159,"")</f>
        <v/>
      </c>
      <c r="S159" s="71" t="str">
        <f>IF(R159="","",IF(R159&lt;=4,"Excellent",IF(R159&lt;=8,"Good",IF(R159&lt;=15,"Average",IF(R159&lt;=30,"Poor",IF(R159&gt;=30,"Bad"))))))</f>
        <v/>
      </c>
      <c r="T159" s="68" t="str">
        <f ca="1">IF(U159="","",IF(U159&lt;=3,"Excellent",IF(U159&lt;=7,"Good",IF(U159&lt;=14,"Average",IF(U159&lt;=30,"Poor",IF(U159&gt;=30,"Bad"))))))</f>
        <v/>
      </c>
      <c r="U159" s="68" t="str">
        <f ca="1">IF(E159="Document", IF(#REF!="", "", TODAY() -#REF!), "")</f>
        <v/>
      </c>
      <c r="V159" s="68">
        <f>3</f>
        <v>3</v>
      </c>
      <c r="W159" s="78" t="s">
        <v>230</v>
      </c>
      <c r="X159" s="78" t="s">
        <v>141</v>
      </c>
      <c r="Y159" s="75"/>
      <c r="Z159" s="75"/>
      <c r="AD159" s="21" t="s">
        <v>35</v>
      </c>
      <c r="AE159" s="19" t="s">
        <v>36</v>
      </c>
    </row>
    <row r="160" spans="1:31" ht="14.4" x14ac:dyDescent="0.3">
      <c r="A160" s="6">
        <v>4702</v>
      </c>
      <c r="B160" s="80" t="s">
        <v>47</v>
      </c>
      <c r="C160" s="8">
        <v>343</v>
      </c>
      <c r="D160" s="67" t="s">
        <v>32</v>
      </c>
      <c r="E160" s="6" t="s">
        <v>33</v>
      </c>
      <c r="F160" s="10">
        <v>45838</v>
      </c>
      <c r="G160" s="10">
        <v>45843</v>
      </c>
      <c r="H160" s="11">
        <v>284</v>
      </c>
      <c r="I160" s="12">
        <v>309</v>
      </c>
      <c r="J160" s="13"/>
      <c r="K160" s="14">
        <v>45845</v>
      </c>
      <c r="L160" s="11"/>
      <c r="M160" s="77"/>
      <c r="T160" s="78" t="str">
        <f t="shared" ref="T160:T163" ca="1" si="81">IF($U160="","",IF($U160&lt;=3,"Excellent",IF($U160&lt;=7,"Good",IF($U160&lt;=14,"Average",IF($U160&lt;=30,"Poor",IF($U160&gt;=30,"Bad"))))))</f>
        <v/>
      </c>
      <c r="U160" s="78" t="str">
        <f t="shared" ref="U160:U163" ca="1" si="82">IF(E160="Document", IF(G160="", "", TODAY() - G160), "")</f>
        <v/>
      </c>
      <c r="V160" s="78"/>
      <c r="W160" s="74" t="s">
        <v>218</v>
      </c>
      <c r="X160" s="74" t="s">
        <v>231</v>
      </c>
      <c r="Y160" s="18"/>
      <c r="Z160" s="18"/>
      <c r="AA160" s="18"/>
      <c r="AD160" s="6" t="s">
        <v>35</v>
      </c>
      <c r="AE160" s="19" t="s">
        <v>36</v>
      </c>
    </row>
    <row r="161" spans="1:31" ht="14.4" x14ac:dyDescent="0.3">
      <c r="A161" s="21">
        <v>4702</v>
      </c>
      <c r="B161" s="80" t="s">
        <v>232</v>
      </c>
      <c r="C161" s="8">
        <v>343</v>
      </c>
      <c r="D161" s="67" t="s">
        <v>32</v>
      </c>
      <c r="E161" s="21" t="s">
        <v>33</v>
      </c>
      <c r="F161" s="10">
        <v>45845</v>
      </c>
      <c r="G161" s="10">
        <v>45846</v>
      </c>
      <c r="H161" s="22">
        <v>220</v>
      </c>
      <c r="I161" s="23">
        <v>220</v>
      </c>
      <c r="J161" s="24"/>
      <c r="K161" s="14">
        <v>45848</v>
      </c>
      <c r="L161" s="22"/>
      <c r="M161" s="81"/>
      <c r="T161" s="82" t="str">
        <f t="shared" ca="1" si="81"/>
        <v/>
      </c>
      <c r="U161" s="82" t="str">
        <f t="shared" ca="1" si="82"/>
        <v/>
      </c>
      <c r="V161" s="75">
        <f>1</f>
        <v>1</v>
      </c>
      <c r="W161" s="83" t="s">
        <v>135</v>
      </c>
      <c r="X161" s="83" t="s">
        <v>121</v>
      </c>
      <c r="Y161" s="28"/>
      <c r="Z161" s="28"/>
      <c r="AA161" s="28"/>
      <c r="AD161" s="21" t="s">
        <v>35</v>
      </c>
      <c r="AE161" s="19" t="s">
        <v>36</v>
      </c>
    </row>
    <row r="162" spans="1:31" ht="14.4" x14ac:dyDescent="0.3">
      <c r="A162" s="21">
        <v>4901</v>
      </c>
      <c r="B162" s="84" t="s">
        <v>37</v>
      </c>
      <c r="C162" s="8">
        <v>343</v>
      </c>
      <c r="D162" s="67" t="s">
        <v>38</v>
      </c>
      <c r="E162" s="21" t="s">
        <v>46</v>
      </c>
      <c r="F162" s="42">
        <v>45978</v>
      </c>
      <c r="G162" s="42">
        <v>45979</v>
      </c>
      <c r="H162" s="25"/>
      <c r="I162" s="39"/>
      <c r="J162" s="40"/>
      <c r="K162" s="41"/>
      <c r="L162" s="25"/>
      <c r="M162" s="82"/>
      <c r="T162" s="81" t="str">
        <f t="shared" ca="1" si="81"/>
        <v>Bad</v>
      </c>
      <c r="U162" s="75">
        <f t="shared" ca="1" si="82"/>
        <v>156</v>
      </c>
      <c r="V162" s="82"/>
      <c r="W162" s="82"/>
      <c r="X162" s="82"/>
      <c r="Y162" s="28"/>
      <c r="Z162" s="28"/>
      <c r="AA162" s="28"/>
      <c r="AD162" s="21" t="s">
        <v>35</v>
      </c>
      <c r="AE162" s="19" t="s">
        <v>36</v>
      </c>
    </row>
    <row r="163" spans="1:31" ht="14.4" x14ac:dyDescent="0.3">
      <c r="A163" s="21">
        <v>4941</v>
      </c>
      <c r="B163" s="84" t="s">
        <v>47</v>
      </c>
      <c r="C163" s="8">
        <v>343</v>
      </c>
      <c r="D163" s="67" t="s">
        <v>32</v>
      </c>
      <c r="E163" s="21" t="s">
        <v>33</v>
      </c>
      <c r="F163" s="38">
        <v>46006</v>
      </c>
      <c r="G163" s="38">
        <v>46010</v>
      </c>
      <c r="H163" s="22">
        <v>206</v>
      </c>
      <c r="I163" s="23">
        <v>221</v>
      </c>
      <c r="J163" s="24"/>
      <c r="K163" s="14">
        <v>46013</v>
      </c>
      <c r="L163" s="22"/>
      <c r="M163" s="81"/>
      <c r="T163" s="82" t="str">
        <f t="shared" ca="1" si="81"/>
        <v/>
      </c>
      <c r="U163" s="82" t="str">
        <f t="shared" ca="1" si="82"/>
        <v/>
      </c>
      <c r="V163" s="82"/>
      <c r="W163" s="83" t="s">
        <v>233</v>
      </c>
      <c r="X163" s="83" t="s">
        <v>105</v>
      </c>
      <c r="Y163" s="28"/>
      <c r="Z163" s="28"/>
      <c r="AA163" s="28"/>
      <c r="AD163" s="21" t="s">
        <v>35</v>
      </c>
      <c r="AE163" s="19" t="s">
        <v>36</v>
      </c>
    </row>
    <row r="164" spans="1:31" ht="14.4" x14ac:dyDescent="0.3">
      <c r="A164" s="21">
        <v>5048</v>
      </c>
      <c r="B164" s="79" t="s">
        <v>234</v>
      </c>
      <c r="C164" s="8">
        <v>344</v>
      </c>
      <c r="D164" s="67" t="s">
        <v>57</v>
      </c>
      <c r="E164" s="6" t="s">
        <v>33</v>
      </c>
      <c r="F164" s="27">
        <v>46063</v>
      </c>
      <c r="G164" s="27">
        <v>46063</v>
      </c>
      <c r="H164" s="29">
        <v>17</v>
      </c>
      <c r="I164" s="30">
        <v>17</v>
      </c>
      <c r="J164" s="21"/>
      <c r="K164" s="31">
        <v>46076</v>
      </c>
      <c r="L164" s="29"/>
      <c r="M164" s="68"/>
      <c r="N164" s="69">
        <v>46076</v>
      </c>
      <c r="O164" s="70"/>
      <c r="P164" s="70"/>
      <c r="Q164" s="71"/>
      <c r="R164" s="71" t="str">
        <f>IF(Q164,Q164-K164,"")</f>
        <v/>
      </c>
      <c r="S164" s="71" t="str">
        <f>IF(R164="","",IF(R164&lt;=4,"Excellent",IF(R164&lt;=8,"Good",IF(R164&lt;=15,"Average",IF(R164&lt;=30,"Poor",IF(R164&gt;=30,"Bad"))))))</f>
        <v/>
      </c>
      <c r="T164" s="68" t="str">
        <f ca="1">IF(U164="","",IF(U164&lt;=3,"Excellent",IF(U164&lt;=7,"Good",IF(U164&lt;=14,"Average",IF(U164&lt;=30,"Poor",IF(U164&gt;=30,"Bad"))))))</f>
        <v/>
      </c>
      <c r="U164" s="68" t="str">
        <f ca="1">IF(E164="Document", IF(#REF!="", "", TODAY() -#REF!), "")</f>
        <v/>
      </c>
      <c r="V164" s="68"/>
      <c r="W164" s="78" t="s">
        <v>235</v>
      </c>
      <c r="X164" s="78" t="s">
        <v>236</v>
      </c>
      <c r="Y164" s="75"/>
      <c r="Z164" s="75"/>
      <c r="AD164" s="21" t="s">
        <v>35</v>
      </c>
      <c r="AE164" s="19" t="s">
        <v>36</v>
      </c>
    </row>
    <row r="165" spans="1:31" ht="14.4" x14ac:dyDescent="0.3">
      <c r="A165" s="21">
        <v>4924</v>
      </c>
      <c r="B165" s="84" t="s">
        <v>237</v>
      </c>
      <c r="C165" s="8">
        <v>345</v>
      </c>
      <c r="D165" s="67" t="s">
        <v>32</v>
      </c>
      <c r="E165" s="21" t="s">
        <v>46</v>
      </c>
      <c r="F165" s="42">
        <v>45987</v>
      </c>
      <c r="G165" s="42">
        <v>45998</v>
      </c>
      <c r="H165" s="25"/>
      <c r="I165" s="39"/>
      <c r="J165" s="40"/>
      <c r="K165" s="41"/>
      <c r="L165" s="25"/>
      <c r="M165" s="82"/>
      <c r="T165" s="81" t="str">
        <f t="shared" ref="T165:T172" ca="1" si="83">IF($U165="","",IF($U165&lt;=3,"Excellent",IF($U165&lt;=7,"Good",IF($U165&lt;=14,"Average",IF($U165&lt;=30,"Poor",IF($U165&gt;=30,"Bad"))))))</f>
        <v>Bad</v>
      </c>
      <c r="U165" s="75">
        <f t="shared" ref="U165:U173" ca="1" si="84">IF(E165="Document", IF(G165="", "", TODAY() - G165), "")</f>
        <v>137</v>
      </c>
      <c r="V165" s="82"/>
      <c r="W165" s="82"/>
      <c r="X165" s="82"/>
      <c r="Y165" s="28"/>
      <c r="Z165" s="28"/>
      <c r="AA165" s="28"/>
      <c r="AD165" s="21" t="s">
        <v>35</v>
      </c>
      <c r="AE165" s="19" t="s">
        <v>36</v>
      </c>
    </row>
    <row r="166" spans="1:31" ht="14.4" x14ac:dyDescent="0.3">
      <c r="A166" s="6">
        <v>4619</v>
      </c>
      <c r="B166" s="76" t="s">
        <v>238</v>
      </c>
      <c r="C166" s="8">
        <v>346</v>
      </c>
      <c r="D166" s="67" t="s">
        <v>32</v>
      </c>
      <c r="E166" s="6" t="s">
        <v>33</v>
      </c>
      <c r="F166" s="10">
        <v>45742</v>
      </c>
      <c r="G166" s="10">
        <v>45742</v>
      </c>
      <c r="H166" s="11">
        <v>25</v>
      </c>
      <c r="I166" s="12">
        <v>25</v>
      </c>
      <c r="J166" s="13"/>
      <c r="K166" s="85">
        <v>45754</v>
      </c>
      <c r="L166" s="11"/>
      <c r="M166" s="77"/>
      <c r="T166" s="78" t="str">
        <f t="shared" ca="1" si="83"/>
        <v/>
      </c>
      <c r="U166" s="78" t="str">
        <f t="shared" ca="1" si="84"/>
        <v/>
      </c>
      <c r="V166" s="73">
        <f>25</f>
        <v>25</v>
      </c>
      <c r="W166" s="74" t="s">
        <v>239</v>
      </c>
      <c r="X166" s="74" t="s">
        <v>67</v>
      </c>
      <c r="Y166" s="18"/>
      <c r="Z166" s="18"/>
      <c r="AA166" s="18"/>
      <c r="AD166" s="6" t="s">
        <v>35</v>
      </c>
      <c r="AE166" s="19" t="s">
        <v>36</v>
      </c>
    </row>
    <row r="167" spans="1:31" ht="14.4" x14ac:dyDescent="0.3">
      <c r="A167" s="21">
        <v>4753</v>
      </c>
      <c r="B167" s="76" t="s">
        <v>37</v>
      </c>
      <c r="C167" s="8">
        <v>349</v>
      </c>
      <c r="D167" s="67" t="s">
        <v>38</v>
      </c>
      <c r="E167" s="21" t="s">
        <v>33</v>
      </c>
      <c r="F167" s="10">
        <v>45859</v>
      </c>
      <c r="G167" s="10">
        <v>45865</v>
      </c>
      <c r="H167" s="22">
        <v>235</v>
      </c>
      <c r="I167" s="23">
        <v>275</v>
      </c>
      <c r="J167" s="24"/>
      <c r="K167" s="14">
        <v>45867</v>
      </c>
      <c r="L167" s="22"/>
      <c r="M167" s="81"/>
      <c r="T167" s="82" t="str">
        <f t="shared" ca="1" si="83"/>
        <v/>
      </c>
      <c r="U167" s="82" t="str">
        <f t="shared" ca="1" si="84"/>
        <v/>
      </c>
      <c r="V167" s="75">
        <f>1</f>
        <v>1</v>
      </c>
      <c r="W167" s="83" t="s">
        <v>203</v>
      </c>
      <c r="X167" s="83" t="s">
        <v>160</v>
      </c>
      <c r="Y167" s="28"/>
      <c r="Z167" s="28"/>
      <c r="AA167" s="28"/>
      <c r="AD167" s="21" t="s">
        <v>35</v>
      </c>
      <c r="AE167" s="19" t="s">
        <v>36</v>
      </c>
    </row>
    <row r="168" spans="1:31" ht="14.4" x14ac:dyDescent="0.3">
      <c r="A168" s="21">
        <v>4946</v>
      </c>
      <c r="B168" s="84" t="s">
        <v>240</v>
      </c>
      <c r="C168" s="8">
        <v>349</v>
      </c>
      <c r="D168" s="67" t="s">
        <v>32</v>
      </c>
      <c r="E168" s="21" t="s">
        <v>33</v>
      </c>
      <c r="F168" s="38">
        <v>46006</v>
      </c>
      <c r="G168" s="38">
        <v>46012</v>
      </c>
      <c r="H168" s="22">
        <v>240</v>
      </c>
      <c r="I168" s="23">
        <v>285</v>
      </c>
      <c r="J168" s="24"/>
      <c r="K168" s="14">
        <v>46017</v>
      </c>
      <c r="L168" s="22"/>
      <c r="M168" s="81"/>
      <c r="T168" s="82" t="str">
        <f t="shared" ca="1" si="83"/>
        <v/>
      </c>
      <c r="U168" s="82" t="str">
        <f t="shared" ca="1" si="84"/>
        <v/>
      </c>
      <c r="V168" s="82"/>
      <c r="W168" s="83" t="s">
        <v>233</v>
      </c>
      <c r="X168" s="83" t="s">
        <v>105</v>
      </c>
      <c r="Y168" s="28"/>
      <c r="Z168" s="28"/>
      <c r="AA168" s="28"/>
      <c r="AD168" s="21" t="s">
        <v>35</v>
      </c>
      <c r="AE168" s="19" t="s">
        <v>36</v>
      </c>
    </row>
    <row r="169" spans="1:31" ht="14.4" x14ac:dyDescent="0.3">
      <c r="A169" s="6">
        <v>4455</v>
      </c>
      <c r="B169" s="76" t="s">
        <v>41</v>
      </c>
      <c r="C169" s="8">
        <v>353</v>
      </c>
      <c r="D169" s="67" t="s">
        <v>42</v>
      </c>
      <c r="E169" s="6" t="s">
        <v>33</v>
      </c>
      <c r="F169" s="10">
        <v>45691</v>
      </c>
      <c r="G169" s="10">
        <v>45704</v>
      </c>
      <c r="H169" s="11">
        <v>248</v>
      </c>
      <c r="I169" s="12">
        <v>349</v>
      </c>
      <c r="J169" s="13"/>
      <c r="K169" s="36">
        <v>45706</v>
      </c>
      <c r="L169" s="11"/>
      <c r="M169" s="77"/>
      <c r="T169" s="78" t="str">
        <f t="shared" ca="1" si="83"/>
        <v/>
      </c>
      <c r="U169" s="78" t="str">
        <f t="shared" ca="1" si="84"/>
        <v/>
      </c>
      <c r="V169" s="78"/>
      <c r="W169" s="78"/>
      <c r="X169" s="74" t="s">
        <v>34</v>
      </c>
      <c r="Y169" s="18"/>
      <c r="Z169" s="18"/>
      <c r="AA169" s="18"/>
      <c r="AD169" s="6" t="s">
        <v>35</v>
      </c>
      <c r="AE169" s="19" t="s">
        <v>36</v>
      </c>
    </row>
    <row r="170" spans="1:31" ht="14.4" x14ac:dyDescent="0.3">
      <c r="A170" s="6">
        <v>4455</v>
      </c>
      <c r="B170" s="76" t="s">
        <v>41</v>
      </c>
      <c r="C170" s="8">
        <v>353</v>
      </c>
      <c r="D170" s="67" t="s">
        <v>42</v>
      </c>
      <c r="E170" s="6" t="s">
        <v>33</v>
      </c>
      <c r="F170" s="10">
        <v>45691</v>
      </c>
      <c r="G170" s="10">
        <v>45704</v>
      </c>
      <c r="H170" s="11">
        <v>248</v>
      </c>
      <c r="I170" s="12">
        <v>349</v>
      </c>
      <c r="J170" s="13"/>
      <c r="K170" s="36">
        <v>45706</v>
      </c>
      <c r="L170" s="11"/>
      <c r="M170" s="77"/>
      <c r="T170" s="78" t="str">
        <f t="shared" ca="1" si="83"/>
        <v/>
      </c>
      <c r="U170" s="78" t="str">
        <f t="shared" ca="1" si="84"/>
        <v/>
      </c>
      <c r="V170" s="78"/>
      <c r="W170" s="78"/>
      <c r="X170" s="74" t="s">
        <v>34</v>
      </c>
      <c r="Y170" s="18"/>
      <c r="Z170" s="18"/>
      <c r="AA170" s="18"/>
      <c r="AD170" s="6" t="s">
        <v>35</v>
      </c>
      <c r="AE170" s="19" t="s">
        <v>36</v>
      </c>
    </row>
    <row r="171" spans="1:31" ht="14.4" x14ac:dyDescent="0.3">
      <c r="A171" s="6">
        <v>4455</v>
      </c>
      <c r="B171" s="76" t="s">
        <v>41</v>
      </c>
      <c r="C171" s="8">
        <v>353</v>
      </c>
      <c r="D171" s="67" t="s">
        <v>42</v>
      </c>
      <c r="E171" s="6" t="s">
        <v>33</v>
      </c>
      <c r="F171" s="10">
        <v>45691</v>
      </c>
      <c r="G171" s="10">
        <v>45704</v>
      </c>
      <c r="H171" s="11">
        <v>248</v>
      </c>
      <c r="I171" s="12">
        <v>349</v>
      </c>
      <c r="J171" s="13"/>
      <c r="K171" s="36">
        <v>45706</v>
      </c>
      <c r="L171" s="11"/>
      <c r="M171" s="77"/>
      <c r="T171" s="78" t="str">
        <f t="shared" ca="1" si="83"/>
        <v/>
      </c>
      <c r="U171" s="78" t="str">
        <f t="shared" ca="1" si="84"/>
        <v/>
      </c>
      <c r="V171" s="78"/>
      <c r="W171" s="78"/>
      <c r="X171" s="74" t="s">
        <v>34</v>
      </c>
      <c r="Y171" s="18"/>
      <c r="Z171" s="18"/>
      <c r="AA171" s="18"/>
      <c r="AD171" s="6" t="s">
        <v>35</v>
      </c>
      <c r="AE171" s="19" t="s">
        <v>36</v>
      </c>
    </row>
    <row r="172" spans="1:31" ht="14.4" x14ac:dyDescent="0.3">
      <c r="A172" s="6">
        <v>4714</v>
      </c>
      <c r="B172" s="76" t="s">
        <v>241</v>
      </c>
      <c r="C172" s="8">
        <v>365</v>
      </c>
      <c r="D172" s="67" t="s">
        <v>57</v>
      </c>
      <c r="E172" s="6" t="s">
        <v>33</v>
      </c>
      <c r="F172" s="10">
        <v>45826</v>
      </c>
      <c r="G172" s="10">
        <v>45826</v>
      </c>
      <c r="H172" s="11">
        <v>25</v>
      </c>
      <c r="I172" s="12">
        <v>35</v>
      </c>
      <c r="J172" s="13"/>
      <c r="K172" s="14">
        <v>45833</v>
      </c>
      <c r="L172" s="11"/>
      <c r="M172" s="77"/>
      <c r="T172" s="78" t="str">
        <f t="shared" ca="1" si="83"/>
        <v/>
      </c>
      <c r="U172" s="78" t="str">
        <f t="shared" ca="1" si="84"/>
        <v/>
      </c>
      <c r="V172" s="78"/>
      <c r="W172" s="78"/>
      <c r="X172" s="74" t="s">
        <v>34</v>
      </c>
      <c r="Y172" s="18"/>
      <c r="Z172" s="18"/>
      <c r="AA172" s="18"/>
      <c r="AD172" s="6" t="s">
        <v>35</v>
      </c>
      <c r="AE172" s="19" t="s">
        <v>36</v>
      </c>
    </row>
    <row r="173" spans="1:31" ht="14.4" x14ac:dyDescent="0.3">
      <c r="A173" s="21">
        <v>5094</v>
      </c>
      <c r="B173" s="26" t="s">
        <v>242</v>
      </c>
      <c r="C173" s="8">
        <v>377</v>
      </c>
      <c r="D173" s="67" t="s">
        <v>32</v>
      </c>
      <c r="E173" s="21" t="s">
        <v>46</v>
      </c>
      <c r="F173" s="27">
        <v>46090</v>
      </c>
      <c r="G173" s="27">
        <v>46099</v>
      </c>
      <c r="H173" s="29"/>
      <c r="I173" s="30"/>
      <c r="J173" s="21"/>
      <c r="K173" s="31"/>
      <c r="L173" s="29"/>
      <c r="M173" s="29"/>
      <c r="N173" s="69"/>
      <c r="O173" s="70"/>
      <c r="P173" s="70"/>
      <c r="Q173" s="71"/>
      <c r="R173" s="71" t="str">
        <f>IF(Q173,Q173-K173,"")</f>
        <v/>
      </c>
      <c r="S173" s="71" t="str">
        <f>IF(R173="","",IF(R173&lt;=4,"Excellent",IF(R173&lt;=8,"Good",IF(R173&lt;=15,"Average",IF(R173&lt;=30,"Poor",IF(R173&gt;=30,"Bad"))))))</f>
        <v/>
      </c>
      <c r="T173" s="68" t="str">
        <f ca="1">IF(U173="","",IF(U173&lt;=3,"Excellent",IF(U173&lt;=7,"Good",IF(U173&lt;=14,"Average",IF(U173&lt;=30,"Poor",IF(U173&gt;=30,"Bad"))))))</f>
        <v>Bad</v>
      </c>
      <c r="U173" s="21">
        <f t="shared" ca="1" si="84"/>
        <v>36</v>
      </c>
      <c r="V173" s="68">
        <f>34</f>
        <v>34</v>
      </c>
      <c r="W173" s="78"/>
      <c r="X173" s="78"/>
      <c r="Y173" s="75"/>
      <c r="Z173" s="75"/>
      <c r="AD173" s="21" t="s">
        <v>35</v>
      </c>
      <c r="AE173" s="19" t="s">
        <v>36</v>
      </c>
    </row>
    <row r="174" spans="1:31" ht="14.4" x14ac:dyDescent="0.3">
      <c r="A174" s="21">
        <v>4890</v>
      </c>
      <c r="B174" s="37" t="s">
        <v>41</v>
      </c>
      <c r="C174" s="8">
        <v>378</v>
      </c>
      <c r="D174" s="67" t="s">
        <v>42</v>
      </c>
      <c r="E174" s="21" t="s">
        <v>33</v>
      </c>
      <c r="F174" s="42">
        <v>45964</v>
      </c>
      <c r="G174" s="42">
        <v>45977</v>
      </c>
      <c r="H174" s="22">
        <v>549</v>
      </c>
      <c r="I174" s="23">
        <v>549</v>
      </c>
      <c r="J174" s="24"/>
      <c r="K174" s="14">
        <v>45977</v>
      </c>
      <c r="L174" s="22"/>
      <c r="M174" s="81"/>
      <c r="T174" s="82" t="str">
        <f t="shared" ref="T174:T182" ca="1" si="85">IF($U174="","",IF($U174&lt;=3,"Excellent",IF($U174&lt;=7,"Good",IF($U174&lt;=14,"Average",IF($U174&lt;=30,"Poor",IF($U174&gt;=30,"Bad"))))))</f>
        <v/>
      </c>
      <c r="U174" s="82" t="str">
        <f t="shared" ref="U174:U183" ca="1" si="86">IF(E174="Document", IF(G174="", "", TODAY() - G174), "")</f>
        <v/>
      </c>
      <c r="V174" s="82"/>
      <c r="W174" s="83" t="s">
        <v>243</v>
      </c>
      <c r="X174" s="83" t="s">
        <v>244</v>
      </c>
      <c r="Y174" s="28"/>
      <c r="Z174" s="28"/>
      <c r="AA174" s="28"/>
      <c r="AD174" s="21" t="s">
        <v>35</v>
      </c>
      <c r="AE174" s="19" t="s">
        <v>36</v>
      </c>
    </row>
    <row r="175" spans="1:31" ht="14.4" x14ac:dyDescent="0.3">
      <c r="A175" s="21">
        <v>4952</v>
      </c>
      <c r="B175" s="37" t="s">
        <v>245</v>
      </c>
      <c r="C175" s="8">
        <v>378</v>
      </c>
      <c r="D175" s="67" t="s">
        <v>57</v>
      </c>
      <c r="E175" s="21" t="s">
        <v>46</v>
      </c>
      <c r="F175" s="38">
        <v>45995</v>
      </c>
      <c r="G175" s="38">
        <v>45995</v>
      </c>
      <c r="H175" s="25"/>
      <c r="I175" s="39"/>
      <c r="J175" s="40"/>
      <c r="K175" s="41"/>
      <c r="L175" s="25"/>
      <c r="M175" s="25"/>
      <c r="T175" s="81" t="str">
        <f t="shared" ca="1" si="85"/>
        <v>Bad</v>
      </c>
      <c r="U175" s="75">
        <f t="shared" ca="1" si="86"/>
        <v>140</v>
      </c>
      <c r="V175" s="82"/>
      <c r="W175" s="82"/>
      <c r="X175" s="82"/>
      <c r="Y175" s="28"/>
      <c r="Z175" s="28"/>
      <c r="AA175" s="28"/>
      <c r="AD175" s="21" t="s">
        <v>35</v>
      </c>
      <c r="AE175" s="19" t="s">
        <v>36</v>
      </c>
    </row>
    <row r="176" spans="1:31" ht="14.4" x14ac:dyDescent="0.3">
      <c r="A176" s="21">
        <v>4779</v>
      </c>
      <c r="B176" s="55" t="s">
        <v>37</v>
      </c>
      <c r="C176" s="8">
        <v>398</v>
      </c>
      <c r="D176" s="67" t="s">
        <v>38</v>
      </c>
      <c r="E176" s="21" t="s">
        <v>33</v>
      </c>
      <c r="F176" s="10">
        <v>45888</v>
      </c>
      <c r="G176" s="10">
        <v>45900</v>
      </c>
      <c r="H176" s="22">
        <v>334</v>
      </c>
      <c r="I176" s="23">
        <v>334</v>
      </c>
      <c r="J176" s="24"/>
      <c r="K176" s="14">
        <v>45902</v>
      </c>
      <c r="L176" s="22"/>
      <c r="M176" s="22"/>
      <c r="T176" s="82" t="str">
        <f t="shared" ca="1" si="85"/>
        <v/>
      </c>
      <c r="U176" s="82" t="str">
        <f t="shared" ca="1" si="86"/>
        <v/>
      </c>
      <c r="V176" s="82"/>
      <c r="W176" s="83" t="s">
        <v>246</v>
      </c>
      <c r="X176" s="83" t="s">
        <v>247</v>
      </c>
      <c r="Y176" s="28"/>
      <c r="Z176" s="28"/>
      <c r="AA176" s="28"/>
      <c r="AD176" s="21" t="s">
        <v>35</v>
      </c>
      <c r="AE176" s="19" t="s">
        <v>36</v>
      </c>
    </row>
    <row r="177" spans="1:31" ht="14.4" x14ac:dyDescent="0.3">
      <c r="A177" s="21">
        <v>4752</v>
      </c>
      <c r="B177" s="7" t="s">
        <v>47</v>
      </c>
      <c r="C177" s="8">
        <v>399</v>
      </c>
      <c r="D177" s="67" t="s">
        <v>32</v>
      </c>
      <c r="E177" s="21" t="s">
        <v>77</v>
      </c>
      <c r="F177" s="10">
        <v>45859</v>
      </c>
      <c r="G177" s="10">
        <v>45865</v>
      </c>
      <c r="H177" s="25"/>
      <c r="I177" s="39"/>
      <c r="J177" s="40"/>
      <c r="K177" s="14">
        <v>45865</v>
      </c>
      <c r="L177" s="22"/>
      <c r="M177" s="22"/>
      <c r="T177" s="82" t="str">
        <f t="shared" ca="1" si="85"/>
        <v/>
      </c>
      <c r="U177" s="82" t="str">
        <f t="shared" ca="1" si="86"/>
        <v/>
      </c>
      <c r="V177" s="82"/>
      <c r="W177" s="83" t="s">
        <v>248</v>
      </c>
      <c r="X177" s="82"/>
      <c r="Y177" s="28"/>
      <c r="Z177" s="28"/>
      <c r="AA177" s="28"/>
      <c r="AD177" s="21" t="s">
        <v>35</v>
      </c>
      <c r="AE177" s="19" t="s">
        <v>36</v>
      </c>
    </row>
    <row r="178" spans="1:31" ht="14.4" x14ac:dyDescent="0.3">
      <c r="A178" s="21">
        <v>4882</v>
      </c>
      <c r="B178" s="37" t="s">
        <v>37</v>
      </c>
      <c r="C178" s="8">
        <v>401</v>
      </c>
      <c r="D178" s="67" t="s">
        <v>38</v>
      </c>
      <c r="E178" s="21" t="s">
        <v>33</v>
      </c>
      <c r="F178" s="42">
        <v>45971</v>
      </c>
      <c r="G178" s="42">
        <v>45977</v>
      </c>
      <c r="H178" s="22">
        <v>352</v>
      </c>
      <c r="I178" s="23">
        <v>352</v>
      </c>
      <c r="J178" s="24"/>
      <c r="K178" s="14">
        <v>45978</v>
      </c>
      <c r="L178" s="22"/>
      <c r="M178" s="22"/>
      <c r="T178" s="82" t="str">
        <f t="shared" ca="1" si="85"/>
        <v/>
      </c>
      <c r="U178" s="82" t="str">
        <f t="shared" ca="1" si="86"/>
        <v/>
      </c>
      <c r="V178" s="82"/>
      <c r="W178" s="83" t="s">
        <v>243</v>
      </c>
      <c r="X178" s="83" t="s">
        <v>249</v>
      </c>
      <c r="Y178" s="28"/>
      <c r="Z178" s="28"/>
      <c r="AA178" s="28"/>
      <c r="AD178" s="21" t="s">
        <v>35</v>
      </c>
      <c r="AE178" s="19" t="s">
        <v>36</v>
      </c>
    </row>
    <row r="179" spans="1:31" ht="14.4" x14ac:dyDescent="0.3">
      <c r="A179" s="6">
        <v>4579</v>
      </c>
      <c r="B179" s="7" t="s">
        <v>47</v>
      </c>
      <c r="C179" s="8">
        <v>402</v>
      </c>
      <c r="D179" s="67" t="s">
        <v>32</v>
      </c>
      <c r="E179" s="6" t="s">
        <v>33</v>
      </c>
      <c r="F179" s="10">
        <v>45712</v>
      </c>
      <c r="G179" s="10">
        <v>45719</v>
      </c>
      <c r="H179" s="11">
        <v>239</v>
      </c>
      <c r="I179" s="12">
        <v>344</v>
      </c>
      <c r="J179" s="13"/>
      <c r="K179" s="36">
        <v>45720</v>
      </c>
      <c r="L179" s="11"/>
      <c r="M179" s="11"/>
      <c r="T179" s="78" t="str">
        <f t="shared" ca="1" si="85"/>
        <v/>
      </c>
      <c r="U179" s="78" t="str">
        <f t="shared" ca="1" si="86"/>
        <v/>
      </c>
      <c r="V179" s="78"/>
      <c r="W179" s="78"/>
      <c r="X179" s="74" t="s">
        <v>34</v>
      </c>
      <c r="Y179" s="18"/>
      <c r="Z179" s="18"/>
      <c r="AA179" s="18"/>
      <c r="AD179" s="6" t="s">
        <v>35</v>
      </c>
      <c r="AE179" s="19" t="s">
        <v>36</v>
      </c>
    </row>
    <row r="180" spans="1:31" ht="14.4" x14ac:dyDescent="0.3">
      <c r="A180" s="6">
        <v>4670</v>
      </c>
      <c r="B180" s="7" t="s">
        <v>47</v>
      </c>
      <c r="C180" s="8">
        <v>405</v>
      </c>
      <c r="D180" s="67" t="s">
        <v>32</v>
      </c>
      <c r="E180" s="6" t="s">
        <v>33</v>
      </c>
      <c r="F180" s="10">
        <v>45803</v>
      </c>
      <c r="G180" s="10">
        <v>45816</v>
      </c>
      <c r="H180" s="11">
        <v>223</v>
      </c>
      <c r="I180" s="12">
        <v>243</v>
      </c>
      <c r="J180" s="13"/>
      <c r="K180" s="14">
        <v>45817</v>
      </c>
      <c r="L180" s="11"/>
      <c r="M180" s="11"/>
      <c r="T180" s="78" t="str">
        <f t="shared" ca="1" si="85"/>
        <v/>
      </c>
      <c r="U180" s="78" t="str">
        <f t="shared" ca="1" si="86"/>
        <v/>
      </c>
      <c r="V180" s="78"/>
      <c r="W180" s="74" t="s">
        <v>106</v>
      </c>
      <c r="X180" s="74" t="s">
        <v>250</v>
      </c>
      <c r="Y180" s="18"/>
      <c r="Z180" s="18"/>
      <c r="AA180" s="18"/>
      <c r="AD180" s="6" t="s">
        <v>35</v>
      </c>
      <c r="AE180" s="19" t="s">
        <v>36</v>
      </c>
    </row>
    <row r="181" spans="1:31" ht="14.4" x14ac:dyDescent="0.3">
      <c r="A181" s="21">
        <v>4812</v>
      </c>
      <c r="B181" s="55" t="s">
        <v>251</v>
      </c>
      <c r="C181" s="8">
        <v>411</v>
      </c>
      <c r="D181" s="67" t="s">
        <v>69</v>
      </c>
      <c r="E181" s="21" t="s">
        <v>33</v>
      </c>
      <c r="F181" s="10">
        <v>45903</v>
      </c>
      <c r="G181" s="10">
        <v>45904</v>
      </c>
      <c r="H181" s="22">
        <v>50</v>
      </c>
      <c r="I181" s="23">
        <v>50</v>
      </c>
      <c r="J181" s="24"/>
      <c r="K181" s="14">
        <v>45904</v>
      </c>
      <c r="L181" s="22"/>
      <c r="M181" s="22"/>
      <c r="T181" s="82" t="str">
        <f t="shared" ca="1" si="85"/>
        <v/>
      </c>
      <c r="U181" s="82" t="str">
        <f t="shared" ca="1" si="86"/>
        <v/>
      </c>
      <c r="V181" s="75">
        <f>45</f>
        <v>45</v>
      </c>
      <c r="W181" s="82"/>
      <c r="X181" s="83" t="s">
        <v>59</v>
      </c>
      <c r="Y181" s="28"/>
      <c r="Z181" s="28"/>
      <c r="AA181" s="28"/>
      <c r="AD181" s="21" t="s">
        <v>35</v>
      </c>
      <c r="AE181" s="19" t="s">
        <v>36</v>
      </c>
    </row>
    <row r="182" spans="1:31" ht="14.4" x14ac:dyDescent="0.3">
      <c r="A182" s="21">
        <v>4499</v>
      </c>
      <c r="B182" s="7" t="s">
        <v>252</v>
      </c>
      <c r="C182" s="8">
        <v>414</v>
      </c>
      <c r="D182" s="67" t="s">
        <v>76</v>
      </c>
      <c r="E182" s="21" t="s">
        <v>33</v>
      </c>
      <c r="F182" s="10">
        <v>45859</v>
      </c>
      <c r="G182" s="10">
        <v>45861</v>
      </c>
      <c r="H182" s="22">
        <v>27</v>
      </c>
      <c r="I182" s="23">
        <v>27</v>
      </c>
      <c r="J182" s="24"/>
      <c r="K182" s="14">
        <v>45861</v>
      </c>
      <c r="L182" s="22"/>
      <c r="M182" s="22"/>
      <c r="T182" s="82" t="str">
        <f t="shared" ca="1" si="85"/>
        <v/>
      </c>
      <c r="U182" s="82" t="str">
        <f t="shared" ca="1" si="86"/>
        <v/>
      </c>
      <c r="V182" s="82"/>
      <c r="W182" s="83" t="s">
        <v>253</v>
      </c>
      <c r="X182" s="83" t="s">
        <v>171</v>
      </c>
      <c r="Y182" s="28"/>
      <c r="Z182" s="28"/>
      <c r="AA182" s="28"/>
      <c r="AD182" s="21" t="s">
        <v>35</v>
      </c>
      <c r="AE182" s="19" t="s">
        <v>36</v>
      </c>
    </row>
    <row r="183" spans="1:31" ht="14.4" x14ac:dyDescent="0.3">
      <c r="A183" s="8">
        <v>4993</v>
      </c>
      <c r="B183" s="43" t="s">
        <v>254</v>
      </c>
      <c r="C183" s="8">
        <v>428</v>
      </c>
      <c r="D183" s="86" t="s">
        <v>32</v>
      </c>
      <c r="E183" s="8" t="s">
        <v>46</v>
      </c>
      <c r="F183" s="45">
        <v>46030</v>
      </c>
      <c r="G183" s="45">
        <v>46040</v>
      </c>
      <c r="H183" s="46"/>
      <c r="I183" s="47"/>
      <c r="J183" s="8"/>
      <c r="K183" s="48"/>
      <c r="L183" s="46"/>
      <c r="M183" s="46"/>
      <c r="N183" s="87"/>
      <c r="O183" s="87"/>
      <c r="P183" s="87"/>
      <c r="Q183" s="88"/>
      <c r="R183" s="88" t="str">
        <f>IF(Q183,Q183-K183,"")</f>
        <v/>
      </c>
      <c r="S183" s="88" t="str">
        <f>IF(R183="","",IF(R183&lt;=4,"Excellent",IF(R183&lt;=8,"Good",IF(R183&lt;=15,"Average",IF(R183&lt;=30,"Poor",IF(R183&gt;=30,"Bad"))))))</f>
        <v/>
      </c>
      <c r="T183" s="72" t="str">
        <f ca="1">IF(U183="","",IF(U183&lt;=3,"Excellent",IF(U183&lt;=7,"Good",IF(U183&lt;=14,"Average",IF(U183&lt;=30,"Poor",IF(U183&gt;=30,"Bad"))))))</f>
        <v>Bad</v>
      </c>
      <c r="U183" s="21">
        <f t="shared" ca="1" si="86"/>
        <v>95</v>
      </c>
      <c r="V183" s="73">
        <f>40</f>
        <v>40</v>
      </c>
      <c r="W183" s="74"/>
      <c r="X183" s="74"/>
      <c r="Y183" s="89"/>
      <c r="Z183" s="89"/>
      <c r="AD183" s="8" t="s">
        <v>35</v>
      </c>
      <c r="AE183" s="19" t="s">
        <v>36</v>
      </c>
    </row>
    <row r="184" spans="1:31" ht="14.4" x14ac:dyDescent="0.3">
      <c r="A184" s="21">
        <v>4768</v>
      </c>
      <c r="B184" s="7" t="s">
        <v>47</v>
      </c>
      <c r="C184" s="8">
        <v>428</v>
      </c>
      <c r="D184" s="67" t="s">
        <v>32</v>
      </c>
      <c r="E184" s="21" t="s">
        <v>46</v>
      </c>
      <c r="F184" s="10">
        <v>45866</v>
      </c>
      <c r="G184" s="10">
        <v>45872</v>
      </c>
      <c r="H184" s="25"/>
      <c r="I184" s="39"/>
      <c r="J184" s="40"/>
      <c r="K184" s="41"/>
      <c r="L184" s="22"/>
      <c r="M184" s="22"/>
      <c r="T184" s="81" t="str">
        <f t="shared" ref="T184:T186" ca="1" si="87">IF($U184="","",IF($U184&lt;=3,"Excellent",IF($U184&lt;=7,"Good",IF($U184&lt;=14,"Average",IF($U184&lt;=30,"Poor",IF($U184&gt;=30,"Bad"))))))</f>
        <v>Bad</v>
      </c>
      <c r="U184" s="75">
        <f t="shared" ref="U184:U186" ca="1" si="88">IF(E184="Document", IF(G184="", "", TODAY() - G184), "")</f>
        <v>263</v>
      </c>
      <c r="V184" s="75">
        <f>78</f>
        <v>78</v>
      </c>
      <c r="W184" s="82"/>
      <c r="X184" s="82"/>
      <c r="Y184" s="28"/>
      <c r="Z184" s="28"/>
      <c r="AA184" s="28"/>
      <c r="AD184" s="21" t="s">
        <v>35</v>
      </c>
      <c r="AE184" s="19" t="s">
        <v>36</v>
      </c>
    </row>
    <row r="185" spans="1:31" ht="14.4" x14ac:dyDescent="0.3">
      <c r="A185" s="21">
        <v>4800</v>
      </c>
      <c r="B185" s="55" t="s">
        <v>255</v>
      </c>
      <c r="C185" s="8">
        <v>428</v>
      </c>
      <c r="D185" s="67" t="s">
        <v>76</v>
      </c>
      <c r="E185" s="21" t="s">
        <v>33</v>
      </c>
      <c r="F185" s="10">
        <v>45888</v>
      </c>
      <c r="G185" s="10">
        <v>45888</v>
      </c>
      <c r="H185" s="22">
        <v>27</v>
      </c>
      <c r="I185" s="23">
        <v>27</v>
      </c>
      <c r="J185" s="24"/>
      <c r="K185" s="14">
        <v>45888</v>
      </c>
      <c r="L185" s="22"/>
      <c r="M185" s="22"/>
      <c r="T185" s="82" t="str">
        <f t="shared" ca="1" si="87"/>
        <v/>
      </c>
      <c r="U185" s="82" t="str">
        <f t="shared" ca="1" si="88"/>
        <v/>
      </c>
      <c r="V185" s="82"/>
      <c r="W185" s="83" t="s">
        <v>256</v>
      </c>
      <c r="X185" s="83" t="s">
        <v>257</v>
      </c>
      <c r="Y185" s="28"/>
      <c r="Z185" s="28"/>
      <c r="AA185" s="28"/>
      <c r="AD185" s="21" t="s">
        <v>35</v>
      </c>
      <c r="AE185" s="19" t="s">
        <v>36</v>
      </c>
    </row>
    <row r="186" spans="1:31" ht="14.4" x14ac:dyDescent="0.3">
      <c r="A186" s="6">
        <v>4644</v>
      </c>
      <c r="B186" s="7" t="s">
        <v>258</v>
      </c>
      <c r="C186" s="8">
        <v>429</v>
      </c>
      <c r="D186" s="67" t="s">
        <v>57</v>
      </c>
      <c r="E186" s="6" t="s">
        <v>33</v>
      </c>
      <c r="F186" s="10">
        <v>45777</v>
      </c>
      <c r="G186" s="10">
        <v>45777</v>
      </c>
      <c r="H186" s="11">
        <v>20</v>
      </c>
      <c r="I186" s="12">
        <v>20</v>
      </c>
      <c r="J186" s="13"/>
      <c r="K186" s="36">
        <v>45777</v>
      </c>
      <c r="L186" s="11"/>
      <c r="M186" s="11"/>
      <c r="T186" s="78" t="str">
        <f t="shared" ca="1" si="87"/>
        <v/>
      </c>
      <c r="U186" s="78" t="str">
        <f t="shared" ca="1" si="88"/>
        <v/>
      </c>
      <c r="V186" s="78"/>
      <c r="W186" s="78"/>
      <c r="X186" s="74" t="s">
        <v>34</v>
      </c>
      <c r="Y186" s="18"/>
      <c r="Z186" s="18"/>
      <c r="AA186" s="18"/>
      <c r="AD186" s="6" t="s">
        <v>35</v>
      </c>
      <c r="AE186" s="19" t="s">
        <v>36</v>
      </c>
    </row>
    <row r="187" spans="1:31" ht="14.4" x14ac:dyDescent="0.3">
      <c r="A187" s="21">
        <v>5099</v>
      </c>
      <c r="B187" s="26" t="s">
        <v>41</v>
      </c>
      <c r="C187" s="8">
        <v>430</v>
      </c>
      <c r="D187" s="67" t="s">
        <v>42</v>
      </c>
      <c r="E187" s="21" t="s">
        <v>77</v>
      </c>
      <c r="F187" s="27">
        <v>46113</v>
      </c>
      <c r="G187" s="27">
        <v>46127</v>
      </c>
      <c r="H187" s="29"/>
      <c r="I187" s="30"/>
      <c r="J187" s="21"/>
      <c r="K187" s="31">
        <v>46128</v>
      </c>
      <c r="L187" s="29"/>
      <c r="M187" s="29"/>
      <c r="N187" s="69"/>
      <c r="O187" s="70"/>
      <c r="P187" s="70"/>
      <c r="Q187" s="71"/>
      <c r="R187" s="71" t="str">
        <f t="shared" ref="R187:R188" si="89">IF(Q187,Q187-K187,"")</f>
        <v/>
      </c>
      <c r="S187" s="71" t="str">
        <f t="shared" ref="S187:S188" si="90">IF(R187="","",IF(R187&lt;=4,"Excellent",IF(R187&lt;=8,"Good",IF(R187&lt;=15,"Average",IF(R187&lt;=30,"Poor",IF(R187&gt;=30,"Bad"))))))</f>
        <v/>
      </c>
      <c r="T187" s="68" t="str">
        <f t="shared" ref="T187:T188" ca="1" si="91">IF(U187="","",IF(U187&lt;=3,"Excellent",IF(U187&lt;=7,"Good",IF(U187&lt;=14,"Average",IF(U187&lt;=30,"Poor",IF(U187&gt;=30,"Bad"))))))</f>
        <v/>
      </c>
      <c r="U187" s="68" t="str">
        <f ca="1">IF(E187="Document", IF(#REF!="", "", TODAY() -#REF!), "")</f>
        <v/>
      </c>
      <c r="V187" s="68"/>
      <c r="W187" s="78" t="s">
        <v>259</v>
      </c>
      <c r="X187" s="78"/>
      <c r="Y187" s="75"/>
      <c r="Z187" s="75"/>
      <c r="AD187" s="21" t="s">
        <v>35</v>
      </c>
      <c r="AE187" s="19" t="s">
        <v>36</v>
      </c>
    </row>
    <row r="188" spans="1:31" ht="14.4" x14ac:dyDescent="0.3">
      <c r="A188" s="21">
        <v>5099</v>
      </c>
      <c r="B188" s="26" t="s">
        <v>41</v>
      </c>
      <c r="C188" s="8">
        <v>430</v>
      </c>
      <c r="D188" s="67" t="s">
        <v>42</v>
      </c>
      <c r="E188" s="21" t="s">
        <v>77</v>
      </c>
      <c r="F188" s="27">
        <v>46113</v>
      </c>
      <c r="G188" s="27">
        <v>46127</v>
      </c>
      <c r="H188" s="29"/>
      <c r="I188" s="30"/>
      <c r="J188" s="21"/>
      <c r="K188" s="31">
        <v>46128</v>
      </c>
      <c r="L188" s="29"/>
      <c r="M188" s="29"/>
      <c r="N188" s="69"/>
      <c r="O188" s="70"/>
      <c r="P188" s="70"/>
      <c r="Q188" s="71"/>
      <c r="R188" s="71" t="str">
        <f t="shared" si="89"/>
        <v/>
      </c>
      <c r="S188" s="71" t="str">
        <f t="shared" si="90"/>
        <v/>
      </c>
      <c r="T188" s="68" t="str">
        <f t="shared" ca="1" si="91"/>
        <v/>
      </c>
      <c r="U188" s="68" t="str">
        <f ca="1">IF(E188="Document", IF(#REF!="", "", TODAY() -#REF!), "")</f>
        <v/>
      </c>
      <c r="V188" s="68"/>
      <c r="W188" s="78" t="s">
        <v>259</v>
      </c>
      <c r="X188" s="78"/>
      <c r="Y188" s="75"/>
      <c r="Z188" s="75"/>
      <c r="AD188" s="21" t="s">
        <v>35</v>
      </c>
      <c r="AE188" s="19" t="s">
        <v>36</v>
      </c>
    </row>
    <row r="189" spans="1:31" ht="14.4" x14ac:dyDescent="0.3">
      <c r="A189" s="6">
        <v>4643</v>
      </c>
      <c r="B189" s="7" t="s">
        <v>260</v>
      </c>
      <c r="C189" s="8">
        <v>430</v>
      </c>
      <c r="D189" s="67" t="s">
        <v>57</v>
      </c>
      <c r="E189" s="6" t="s">
        <v>46</v>
      </c>
      <c r="F189" s="10">
        <v>45784</v>
      </c>
      <c r="G189" s="10">
        <v>45784</v>
      </c>
      <c r="H189" s="16"/>
      <c r="I189" s="53"/>
      <c r="J189" s="54"/>
      <c r="K189" s="41"/>
      <c r="L189" s="11"/>
      <c r="M189" s="11"/>
      <c r="T189" s="77" t="str">
        <f ca="1">IF($U189="","",IF($U189&lt;=3,"Excellent",IF($U189&lt;=7,"Good",IF($U189&lt;=14,"Average",IF($U189&lt;=30,"Poor",IF($U189&gt;=30,"Bad"))))))</f>
        <v>Bad</v>
      </c>
      <c r="U189" s="73">
        <f ca="1">IF(E189="Document", IF(G189="", "", TODAY() - G189), "")</f>
        <v>351</v>
      </c>
      <c r="V189" s="73">
        <f>109</f>
        <v>109</v>
      </c>
      <c r="W189" s="78"/>
      <c r="X189" s="78"/>
      <c r="Y189" s="18"/>
      <c r="Z189" s="18"/>
      <c r="AA189" s="18"/>
      <c r="AD189" s="6" t="s">
        <v>35</v>
      </c>
      <c r="AE189" s="19" t="s">
        <v>36</v>
      </c>
    </row>
    <row r="190" spans="1:31" ht="14.4" x14ac:dyDescent="0.3">
      <c r="A190" s="21">
        <v>5110</v>
      </c>
      <c r="B190" s="26" t="s">
        <v>47</v>
      </c>
      <c r="C190" s="8">
        <v>440</v>
      </c>
      <c r="D190" s="67" t="s">
        <v>32</v>
      </c>
      <c r="E190" s="21" t="s">
        <v>46</v>
      </c>
      <c r="F190" s="27">
        <v>46113</v>
      </c>
      <c r="G190" s="27">
        <v>46126</v>
      </c>
      <c r="H190" s="29"/>
      <c r="I190" s="30"/>
      <c r="J190" s="21"/>
      <c r="K190" s="48"/>
      <c r="L190" s="29"/>
      <c r="M190" s="29"/>
      <c r="N190" s="69"/>
      <c r="O190" s="70"/>
      <c r="P190" s="70"/>
      <c r="Q190" s="71"/>
      <c r="R190" s="71" t="str">
        <f t="shared" ref="R190:R191" si="92">IF(Q190,Q190-K190,"")</f>
        <v/>
      </c>
      <c r="S190" s="71" t="str">
        <f t="shared" ref="S190:S191" si="93">IF(R190="","",IF(R190&lt;=4,"Excellent",IF(R190&lt;=8,"Good",IF(R190&lt;=15,"Average",IF(R190&lt;=30,"Poor",IF(R190&gt;=30,"Bad"))))))</f>
        <v/>
      </c>
      <c r="T190" s="72"/>
      <c r="U190" s="73"/>
      <c r="V190" s="73">
        <f>3</f>
        <v>3</v>
      </c>
      <c r="W190" s="74"/>
      <c r="X190" s="74"/>
      <c r="Y190" s="75"/>
      <c r="Z190" s="75"/>
      <c r="AD190" s="21" t="s">
        <v>35</v>
      </c>
      <c r="AE190" s="19" t="s">
        <v>36</v>
      </c>
    </row>
    <row r="191" spans="1:31" ht="14.4" x14ac:dyDescent="0.3">
      <c r="A191" s="21">
        <v>5053</v>
      </c>
      <c r="B191" s="26" t="s">
        <v>261</v>
      </c>
      <c r="C191" s="8">
        <v>449</v>
      </c>
      <c r="D191" s="67" t="s">
        <v>32</v>
      </c>
      <c r="E191" s="59" t="s">
        <v>46</v>
      </c>
      <c r="F191" s="27">
        <v>46062</v>
      </c>
      <c r="G191" s="27">
        <v>46068</v>
      </c>
      <c r="H191" s="29"/>
      <c r="I191" s="30"/>
      <c r="J191" s="21"/>
      <c r="K191" s="31"/>
      <c r="L191" s="29"/>
      <c r="M191" s="29"/>
      <c r="N191" s="69"/>
      <c r="O191" s="70"/>
      <c r="P191" s="70"/>
      <c r="Q191" s="71"/>
      <c r="R191" s="71" t="str">
        <f t="shared" si="92"/>
        <v/>
      </c>
      <c r="S191" s="71" t="str">
        <f t="shared" si="93"/>
        <v/>
      </c>
      <c r="T191" s="68" t="str">
        <f ca="1">IF(U191="","",IF(U191&lt;=3,"Excellent",IF(U191&lt;=7,"Good",IF(U191&lt;=14,"Average",IF(U191&lt;=30,"Poor",IF(U191&gt;=30,"Bad"))))))</f>
        <v>Bad</v>
      </c>
      <c r="U191" s="21">
        <f t="shared" ref="U191" ca="1" si="94">IF(E191="Document", IF(G191="", "", TODAY() - G191), "")</f>
        <v>67</v>
      </c>
      <c r="V191" s="68">
        <f>40</f>
        <v>40</v>
      </c>
      <c r="W191" s="78"/>
      <c r="X191" s="78"/>
      <c r="Y191" s="75"/>
      <c r="Z191" s="75"/>
      <c r="AD191" s="21" t="s">
        <v>35</v>
      </c>
      <c r="AE191" s="19" t="s">
        <v>36</v>
      </c>
    </row>
    <row r="192" spans="1:31" ht="14.4" x14ac:dyDescent="0.3">
      <c r="A192" s="6">
        <v>4560</v>
      </c>
      <c r="B192" s="7" t="s">
        <v>262</v>
      </c>
      <c r="C192" s="8">
        <v>449</v>
      </c>
      <c r="D192" s="67" t="s">
        <v>32</v>
      </c>
      <c r="E192" s="6" t="s">
        <v>33</v>
      </c>
      <c r="F192" s="10">
        <v>45733</v>
      </c>
      <c r="G192" s="10">
        <v>45743</v>
      </c>
      <c r="H192" s="11">
        <v>154</v>
      </c>
      <c r="I192" s="12">
        <v>194</v>
      </c>
      <c r="J192" s="13"/>
      <c r="K192" s="14">
        <v>45762</v>
      </c>
      <c r="L192" s="11"/>
      <c r="M192" s="11"/>
      <c r="T192" s="78" t="str">
        <f t="shared" ref="T192:T196" ca="1" si="95">IF($U192="","",IF($U192&lt;=3,"Excellent",IF($U192&lt;=7,"Good",IF($U192&lt;=14,"Average",IF($U192&lt;=30,"Poor",IF($U192&gt;=30,"Bad"))))))</f>
        <v/>
      </c>
      <c r="U192" s="78" t="str">
        <f t="shared" ref="U192:U196" ca="1" si="96">IF(E192="Document", IF(G192="", "", TODAY() - G192), "")</f>
        <v/>
      </c>
      <c r="V192" s="73">
        <f>17</f>
        <v>17</v>
      </c>
      <c r="W192" s="74" t="s">
        <v>263</v>
      </c>
      <c r="X192" s="74" t="s">
        <v>160</v>
      </c>
      <c r="Y192" s="18"/>
      <c r="Z192" s="18"/>
      <c r="AA192" s="18"/>
      <c r="AD192" s="6" t="s">
        <v>35</v>
      </c>
      <c r="AE192" s="19" t="s">
        <v>36</v>
      </c>
    </row>
    <row r="193" spans="1:31" ht="14.4" x14ac:dyDescent="0.3">
      <c r="A193" s="6">
        <v>4629</v>
      </c>
      <c r="B193" s="7" t="s">
        <v>41</v>
      </c>
      <c r="C193" s="8">
        <v>449</v>
      </c>
      <c r="D193" s="67" t="s">
        <v>42</v>
      </c>
      <c r="E193" s="6" t="s">
        <v>33</v>
      </c>
      <c r="F193" s="10">
        <v>45761</v>
      </c>
      <c r="G193" s="10">
        <v>45787</v>
      </c>
      <c r="H193" s="11">
        <v>305</v>
      </c>
      <c r="I193" s="12">
        <v>361</v>
      </c>
      <c r="J193" s="13"/>
      <c r="K193" s="90">
        <v>45790</v>
      </c>
      <c r="L193" s="11"/>
      <c r="M193" s="11"/>
      <c r="T193" s="78" t="str">
        <f t="shared" ca="1" si="95"/>
        <v/>
      </c>
      <c r="U193" s="78" t="str">
        <f t="shared" ca="1" si="96"/>
        <v/>
      </c>
      <c r="V193" s="78"/>
      <c r="W193" s="78"/>
      <c r="X193" s="74" t="s">
        <v>34</v>
      </c>
      <c r="Y193" s="18"/>
      <c r="Z193" s="18"/>
      <c r="AA193" s="18"/>
      <c r="AD193" s="6" t="s">
        <v>35</v>
      </c>
      <c r="AE193" s="19" t="s">
        <v>36</v>
      </c>
    </row>
    <row r="194" spans="1:31" ht="14.4" x14ac:dyDescent="0.3">
      <c r="A194" s="6">
        <v>4629</v>
      </c>
      <c r="B194" s="7" t="s">
        <v>41</v>
      </c>
      <c r="C194" s="8">
        <v>449</v>
      </c>
      <c r="D194" s="67" t="s">
        <v>42</v>
      </c>
      <c r="E194" s="6" t="s">
        <v>33</v>
      </c>
      <c r="F194" s="10">
        <v>45761</v>
      </c>
      <c r="G194" s="10">
        <v>45787</v>
      </c>
      <c r="H194" s="11">
        <v>305</v>
      </c>
      <c r="I194" s="12">
        <v>361</v>
      </c>
      <c r="J194" s="13"/>
      <c r="K194" s="90">
        <v>45790</v>
      </c>
      <c r="L194" s="11"/>
      <c r="M194" s="11"/>
      <c r="T194" s="78" t="str">
        <f t="shared" ca="1" si="95"/>
        <v/>
      </c>
      <c r="U194" s="78" t="str">
        <f t="shared" ca="1" si="96"/>
        <v/>
      </c>
      <c r="V194" s="78"/>
      <c r="W194" s="78"/>
      <c r="X194" s="74" t="s">
        <v>34</v>
      </c>
      <c r="Y194" s="18"/>
      <c r="Z194" s="18"/>
      <c r="AA194" s="18"/>
      <c r="AD194" s="6" t="s">
        <v>35</v>
      </c>
      <c r="AE194" s="19" t="s">
        <v>36</v>
      </c>
    </row>
    <row r="195" spans="1:31" ht="14.4" x14ac:dyDescent="0.3">
      <c r="A195" s="21">
        <v>4837</v>
      </c>
      <c r="B195" s="7" t="s">
        <v>156</v>
      </c>
      <c r="C195" s="8">
        <v>449</v>
      </c>
      <c r="D195" s="67" t="s">
        <v>32</v>
      </c>
      <c r="E195" s="21" t="s">
        <v>46</v>
      </c>
      <c r="F195" s="10">
        <v>45922</v>
      </c>
      <c r="G195" s="10">
        <v>45935</v>
      </c>
      <c r="H195" s="25"/>
      <c r="I195" s="39"/>
      <c r="J195" s="40"/>
      <c r="K195" s="41"/>
      <c r="L195" s="25"/>
      <c r="M195" s="25"/>
      <c r="T195" s="81" t="str">
        <f t="shared" ca="1" si="95"/>
        <v>Bad</v>
      </c>
      <c r="U195" s="75">
        <f t="shared" ca="1" si="96"/>
        <v>200</v>
      </c>
      <c r="V195" s="75">
        <f>15</f>
        <v>15</v>
      </c>
      <c r="W195" s="82"/>
      <c r="X195" s="82"/>
      <c r="Y195" s="28"/>
      <c r="Z195" s="28"/>
      <c r="AA195" s="28"/>
      <c r="AD195" s="21" t="s">
        <v>35</v>
      </c>
      <c r="AE195" s="19" t="s">
        <v>36</v>
      </c>
    </row>
    <row r="196" spans="1:31" ht="14.4" x14ac:dyDescent="0.3">
      <c r="A196" s="6">
        <v>4705</v>
      </c>
      <c r="B196" s="7" t="s">
        <v>47</v>
      </c>
      <c r="C196" s="8">
        <v>450</v>
      </c>
      <c r="D196" s="67" t="s">
        <v>32</v>
      </c>
      <c r="E196" s="6" t="s">
        <v>33</v>
      </c>
      <c r="F196" s="10">
        <v>45831</v>
      </c>
      <c r="G196" s="10">
        <v>45834</v>
      </c>
      <c r="H196" s="11">
        <v>284</v>
      </c>
      <c r="I196" s="12">
        <v>284</v>
      </c>
      <c r="J196" s="13"/>
      <c r="K196" s="14">
        <v>45837</v>
      </c>
      <c r="L196" s="11"/>
      <c r="M196" s="11"/>
      <c r="T196" s="78" t="str">
        <f t="shared" ca="1" si="95"/>
        <v/>
      </c>
      <c r="U196" s="78" t="str">
        <f t="shared" ca="1" si="96"/>
        <v/>
      </c>
      <c r="V196" s="78"/>
      <c r="W196" s="74" t="s">
        <v>106</v>
      </c>
      <c r="X196" s="74" t="s">
        <v>264</v>
      </c>
      <c r="Y196" s="18"/>
      <c r="Z196" s="18"/>
      <c r="AA196" s="18"/>
      <c r="AD196" s="6" t="s">
        <v>55</v>
      </c>
      <c r="AE196" s="19" t="s">
        <v>36</v>
      </c>
    </row>
    <row r="197" spans="1:31" ht="14.4" x14ac:dyDescent="0.3">
      <c r="A197" s="8">
        <v>5012</v>
      </c>
      <c r="B197" s="43" t="s">
        <v>265</v>
      </c>
      <c r="C197" s="8">
        <v>453</v>
      </c>
      <c r="D197" s="86" t="s">
        <v>57</v>
      </c>
      <c r="E197" s="62" t="s">
        <v>33</v>
      </c>
      <c r="F197" s="45">
        <v>46041</v>
      </c>
      <c r="G197" s="45">
        <v>46041</v>
      </c>
      <c r="H197" s="46">
        <v>20</v>
      </c>
      <c r="I197" s="47">
        <v>40</v>
      </c>
      <c r="J197" s="8"/>
      <c r="K197" s="48">
        <v>46042</v>
      </c>
      <c r="L197" s="46"/>
      <c r="M197" s="46"/>
      <c r="N197" s="91">
        <v>46042</v>
      </c>
      <c r="O197" s="87"/>
      <c r="P197" s="87"/>
      <c r="Q197" s="88"/>
      <c r="R197" s="88" t="str">
        <f t="shared" ref="R197:R198" si="97">IF(Q197,Q197-K197,"")</f>
        <v/>
      </c>
      <c r="S197" s="88" t="str">
        <f t="shared" ref="S197:S198" si="98">IF(R197="","",IF(R197&lt;=4,"Excellent",IF(R197&lt;=8,"Good",IF(R197&lt;=15,"Average",IF(R197&lt;=30,"Poor",IF(R197&gt;=30,"Bad"))))))</f>
        <v/>
      </c>
      <c r="T197" s="72" t="str">
        <f t="shared" ref="T197:T198" ca="1" si="99">IF(U197="","",IF(U197&lt;=3,"Excellent",IF(U197&lt;=7,"Good",IF(U197&lt;=14,"Average",IF(U197&lt;=30,"Poor",IF(U197&gt;=30,"Bad"))))))</f>
        <v/>
      </c>
      <c r="U197" s="73" t="str">
        <f ca="1">IF(E197="Document", IF(#REF!="", "", TODAY() -#REF!), "")</f>
        <v/>
      </c>
      <c r="V197" s="73"/>
      <c r="W197" s="74" t="s">
        <v>86</v>
      </c>
      <c r="X197" s="74" t="s">
        <v>61</v>
      </c>
      <c r="Y197" s="89"/>
      <c r="Z197" s="89"/>
      <c r="AD197" s="8" t="s">
        <v>35</v>
      </c>
      <c r="AE197" s="19" t="s">
        <v>36</v>
      </c>
    </row>
    <row r="198" spans="1:31" ht="14.4" x14ac:dyDescent="0.3">
      <c r="A198" s="21">
        <v>5103</v>
      </c>
      <c r="B198" s="26" t="s">
        <v>266</v>
      </c>
      <c r="C198" s="8">
        <v>453</v>
      </c>
      <c r="D198" s="67" t="s">
        <v>57</v>
      </c>
      <c r="E198" s="6" t="s">
        <v>33</v>
      </c>
      <c r="F198" s="27">
        <v>46091</v>
      </c>
      <c r="G198" s="27">
        <v>46092</v>
      </c>
      <c r="H198" s="29">
        <v>67</v>
      </c>
      <c r="I198" s="30">
        <v>122</v>
      </c>
      <c r="J198" s="21"/>
      <c r="K198" s="31">
        <v>46093</v>
      </c>
      <c r="L198" s="29"/>
      <c r="M198" s="29"/>
      <c r="N198" s="69">
        <v>46093</v>
      </c>
      <c r="O198" s="70"/>
      <c r="P198" s="70"/>
      <c r="Q198" s="71"/>
      <c r="R198" s="71" t="str">
        <f t="shared" si="97"/>
        <v/>
      </c>
      <c r="S198" s="71" t="str">
        <f t="shared" si="98"/>
        <v/>
      </c>
      <c r="T198" s="68" t="str">
        <f t="shared" ca="1" si="99"/>
        <v/>
      </c>
      <c r="U198" s="68" t="str">
        <f ca="1">IF(E198="Document", IF(#REF!="", "", TODAY() -#REF!), "")</f>
        <v/>
      </c>
      <c r="V198" s="68">
        <f>2</f>
        <v>2</v>
      </c>
      <c r="W198" s="78" t="s">
        <v>140</v>
      </c>
      <c r="X198" s="78" t="s">
        <v>114</v>
      </c>
      <c r="Y198" s="75"/>
      <c r="Z198" s="75"/>
      <c r="AD198" s="21" t="s">
        <v>35</v>
      </c>
      <c r="AE198" s="19" t="s">
        <v>36</v>
      </c>
    </row>
    <row r="199" spans="1:31" ht="14.4" x14ac:dyDescent="0.3">
      <c r="A199" s="21">
        <v>4979</v>
      </c>
      <c r="B199" s="37" t="s">
        <v>41</v>
      </c>
      <c r="C199" s="8">
        <v>459</v>
      </c>
      <c r="D199" s="67" t="s">
        <v>42</v>
      </c>
      <c r="E199" s="6" t="s">
        <v>33</v>
      </c>
      <c r="F199" s="38">
        <v>46014</v>
      </c>
      <c r="G199" s="38">
        <v>46033</v>
      </c>
      <c r="H199" s="22">
        <v>433</v>
      </c>
      <c r="I199" s="23">
        <v>510</v>
      </c>
      <c r="J199" s="24"/>
      <c r="K199" s="14">
        <v>46041</v>
      </c>
      <c r="L199" s="22"/>
      <c r="M199" s="22"/>
      <c r="T199" s="82" t="str">
        <f t="shared" ref="T199:T204" ca="1" si="100">IF($U199="","",IF($U199&lt;=3,"Excellent",IF($U199&lt;=7,"Good",IF($U199&lt;=14,"Average",IF($U199&lt;=30,"Poor",IF($U199&gt;=30,"Bad"))))))</f>
        <v/>
      </c>
      <c r="U199" s="82" t="str">
        <f t="shared" ref="U199:U204" ca="1" si="101">IF(E199="Document", IF(G199="", "", TODAY() - G199), "")</f>
        <v/>
      </c>
      <c r="V199" s="82"/>
      <c r="W199" s="83" t="s">
        <v>208</v>
      </c>
      <c r="X199" s="83" t="s">
        <v>267</v>
      </c>
      <c r="Y199" s="28"/>
      <c r="Z199" s="28"/>
      <c r="AA199" s="28"/>
      <c r="AD199" s="21" t="s">
        <v>35</v>
      </c>
      <c r="AE199" s="19" t="s">
        <v>36</v>
      </c>
    </row>
    <row r="200" spans="1:31" ht="14.4" x14ac:dyDescent="0.3">
      <c r="A200" s="21">
        <v>4979</v>
      </c>
      <c r="B200" s="37" t="s">
        <v>41</v>
      </c>
      <c r="C200" s="8">
        <v>459</v>
      </c>
      <c r="D200" s="67" t="s">
        <v>42</v>
      </c>
      <c r="E200" s="6" t="s">
        <v>33</v>
      </c>
      <c r="F200" s="38">
        <v>46014</v>
      </c>
      <c r="G200" s="38">
        <v>46033</v>
      </c>
      <c r="H200" s="22">
        <v>433</v>
      </c>
      <c r="I200" s="23">
        <v>510</v>
      </c>
      <c r="J200" s="24"/>
      <c r="K200" s="14">
        <v>46041</v>
      </c>
      <c r="L200" s="22"/>
      <c r="M200" s="22"/>
      <c r="T200" s="82" t="str">
        <f t="shared" ca="1" si="100"/>
        <v/>
      </c>
      <c r="U200" s="82" t="str">
        <f t="shared" ca="1" si="101"/>
        <v/>
      </c>
      <c r="V200" s="82"/>
      <c r="W200" s="83" t="s">
        <v>208</v>
      </c>
      <c r="X200" s="83" t="s">
        <v>267</v>
      </c>
      <c r="Y200" s="28"/>
      <c r="Z200" s="28"/>
      <c r="AA200" s="28"/>
      <c r="AD200" s="21" t="s">
        <v>35</v>
      </c>
      <c r="AE200" s="19" t="s">
        <v>36</v>
      </c>
    </row>
    <row r="201" spans="1:31" ht="14.4" x14ac:dyDescent="0.3">
      <c r="A201" s="6">
        <v>4566</v>
      </c>
      <c r="B201" s="7" t="s">
        <v>268</v>
      </c>
      <c r="C201" s="8">
        <v>463</v>
      </c>
      <c r="D201" s="67" t="s">
        <v>32</v>
      </c>
      <c r="E201" s="6" t="s">
        <v>33</v>
      </c>
      <c r="F201" s="10">
        <v>45705</v>
      </c>
      <c r="G201" s="10">
        <v>45718</v>
      </c>
      <c r="H201" s="11">
        <v>374</v>
      </c>
      <c r="I201" s="12">
        <v>443</v>
      </c>
      <c r="J201" s="13"/>
      <c r="K201" s="36">
        <v>45742</v>
      </c>
      <c r="L201" s="11"/>
      <c r="M201" s="11"/>
      <c r="T201" s="78" t="str">
        <f t="shared" ca="1" si="100"/>
        <v/>
      </c>
      <c r="U201" s="78" t="str">
        <f t="shared" ca="1" si="101"/>
        <v/>
      </c>
      <c r="V201" s="78"/>
      <c r="W201" s="78"/>
      <c r="X201" s="74" t="s">
        <v>34</v>
      </c>
      <c r="Y201" s="18"/>
      <c r="Z201" s="18"/>
      <c r="AA201" s="18"/>
      <c r="AD201" s="6" t="s">
        <v>35</v>
      </c>
      <c r="AE201" s="19" t="s">
        <v>36</v>
      </c>
    </row>
    <row r="202" spans="1:31" ht="14.4" x14ac:dyDescent="0.3">
      <c r="A202" s="6">
        <v>4663</v>
      </c>
      <c r="B202" s="7" t="s">
        <v>47</v>
      </c>
      <c r="C202" s="8">
        <v>466</v>
      </c>
      <c r="D202" s="67" t="s">
        <v>32</v>
      </c>
      <c r="E202" s="6" t="s">
        <v>46</v>
      </c>
      <c r="F202" s="10">
        <v>45818</v>
      </c>
      <c r="G202" s="10">
        <v>45821</v>
      </c>
      <c r="H202" s="16"/>
      <c r="I202" s="53"/>
      <c r="J202" s="54"/>
      <c r="K202" s="41"/>
      <c r="L202" s="11"/>
      <c r="M202" s="11"/>
      <c r="T202" s="77" t="str">
        <f t="shared" ca="1" si="100"/>
        <v>Bad</v>
      </c>
      <c r="U202" s="73">
        <f t="shared" ca="1" si="101"/>
        <v>314</v>
      </c>
      <c r="V202" s="73">
        <f>109</f>
        <v>109</v>
      </c>
      <c r="W202" s="78"/>
      <c r="X202" s="78"/>
      <c r="Y202" s="18"/>
      <c r="Z202" s="18"/>
      <c r="AA202" s="18"/>
      <c r="AD202" s="6" t="s">
        <v>35</v>
      </c>
      <c r="AE202" s="19" t="s">
        <v>36</v>
      </c>
    </row>
    <row r="203" spans="1:31" ht="14.4" x14ac:dyDescent="0.3">
      <c r="A203" s="21">
        <v>4788</v>
      </c>
      <c r="B203" s="55" t="s">
        <v>269</v>
      </c>
      <c r="C203" s="8">
        <v>466</v>
      </c>
      <c r="D203" s="67" t="s">
        <v>76</v>
      </c>
      <c r="E203" s="21" t="s">
        <v>33</v>
      </c>
      <c r="F203" s="10">
        <v>45880</v>
      </c>
      <c r="G203" s="10">
        <v>45880</v>
      </c>
      <c r="H203" s="22">
        <v>22</v>
      </c>
      <c r="I203" s="23">
        <v>22</v>
      </c>
      <c r="J203" s="24"/>
      <c r="K203" s="14">
        <v>45883</v>
      </c>
      <c r="L203" s="22"/>
      <c r="M203" s="22"/>
      <c r="T203" s="82" t="str">
        <f t="shared" ca="1" si="100"/>
        <v/>
      </c>
      <c r="U203" s="82" t="str">
        <f t="shared" ca="1" si="101"/>
        <v/>
      </c>
      <c r="V203" s="75">
        <f>2</f>
        <v>2</v>
      </c>
      <c r="W203" s="83" t="s">
        <v>270</v>
      </c>
      <c r="X203" s="83" t="s">
        <v>123</v>
      </c>
      <c r="Y203" s="28"/>
      <c r="Z203" s="28"/>
      <c r="AA203" s="28"/>
      <c r="AD203" s="21" t="s">
        <v>35</v>
      </c>
      <c r="AE203" s="19" t="s">
        <v>36</v>
      </c>
    </row>
    <row r="204" spans="1:31" ht="14.4" x14ac:dyDescent="0.3">
      <c r="A204" s="21">
        <v>4120</v>
      </c>
      <c r="B204" s="37" t="s">
        <v>271</v>
      </c>
      <c r="C204" s="8">
        <v>466</v>
      </c>
      <c r="D204" s="67" t="s">
        <v>76</v>
      </c>
      <c r="E204" s="6" t="s">
        <v>33</v>
      </c>
      <c r="F204" s="38">
        <v>45979</v>
      </c>
      <c r="G204" s="38">
        <v>45981</v>
      </c>
      <c r="H204" s="22">
        <v>27</v>
      </c>
      <c r="I204" s="23">
        <v>27</v>
      </c>
      <c r="J204" s="24"/>
      <c r="K204" s="14">
        <v>45996</v>
      </c>
      <c r="L204" s="22"/>
      <c r="M204" s="22"/>
      <c r="T204" s="82" t="str">
        <f t="shared" ca="1" si="100"/>
        <v/>
      </c>
      <c r="U204" s="82" t="str">
        <f t="shared" ca="1" si="101"/>
        <v/>
      </c>
      <c r="V204" s="82"/>
      <c r="W204" s="83" t="s">
        <v>140</v>
      </c>
      <c r="X204" s="83" t="s">
        <v>221</v>
      </c>
      <c r="Y204" s="28"/>
      <c r="Z204" s="28"/>
      <c r="AA204" s="28"/>
      <c r="AD204" s="21" t="s">
        <v>35</v>
      </c>
      <c r="AE204" s="19" t="s">
        <v>36</v>
      </c>
    </row>
    <row r="205" spans="1:31" ht="14.4" x14ac:dyDescent="0.3">
      <c r="A205" s="21">
        <v>5129</v>
      </c>
      <c r="B205" s="26" t="s">
        <v>47</v>
      </c>
      <c r="C205" s="8">
        <v>473</v>
      </c>
      <c r="D205" s="67" t="s">
        <v>32</v>
      </c>
      <c r="E205" s="21" t="s">
        <v>62</v>
      </c>
      <c r="F205" s="27">
        <v>46132</v>
      </c>
      <c r="G205" s="27">
        <v>46138</v>
      </c>
      <c r="H205" s="29"/>
      <c r="I205" s="30"/>
      <c r="J205" s="21"/>
      <c r="K205" s="48"/>
      <c r="L205" s="29"/>
      <c r="M205" s="29"/>
      <c r="N205" s="69"/>
      <c r="O205" s="70"/>
      <c r="P205" s="70"/>
      <c r="Q205" s="71"/>
      <c r="R205" s="71" t="str">
        <f>IF(Q205,Q205-K205,"")</f>
        <v/>
      </c>
      <c r="S205" s="71" t="str">
        <f>IF(R205="","",IF(R205&lt;=4,"Excellent",IF(R205&lt;=8,"Good",IF(R205&lt;=15,"Average",IF(R205&lt;=30,"Poor",IF(R205&gt;=30,"Bad"))))))</f>
        <v/>
      </c>
      <c r="T205" s="72"/>
      <c r="U205" s="73"/>
      <c r="V205" s="73"/>
      <c r="W205" s="74"/>
      <c r="X205" s="74"/>
      <c r="Y205" s="75"/>
      <c r="Z205" s="75"/>
      <c r="AD205" s="21" t="s">
        <v>35</v>
      </c>
      <c r="AE205" s="19" t="s">
        <v>36</v>
      </c>
    </row>
    <row r="206" spans="1:31" ht="14.4" x14ac:dyDescent="0.3">
      <c r="A206" s="21">
        <v>4880</v>
      </c>
      <c r="B206" s="37" t="s">
        <v>37</v>
      </c>
      <c r="C206" s="8">
        <v>473</v>
      </c>
      <c r="D206" s="67" t="s">
        <v>38</v>
      </c>
      <c r="E206" s="21" t="s">
        <v>46</v>
      </c>
      <c r="F206" s="42">
        <v>45957</v>
      </c>
      <c r="G206" s="42">
        <v>45963</v>
      </c>
      <c r="H206" s="25"/>
      <c r="I206" s="39"/>
      <c r="J206" s="40"/>
      <c r="K206" s="41"/>
      <c r="L206" s="25"/>
      <c r="M206" s="25"/>
      <c r="T206" s="81" t="str">
        <f ca="1">IF($U206="","",IF($U206&lt;=3,"Excellent",IF($U206&lt;=7,"Good",IF($U206&lt;=14,"Average",IF($U206&lt;=30,"Poor",IF($U206&gt;=30,"Bad"))))))</f>
        <v>Bad</v>
      </c>
      <c r="U206" s="75">
        <f ca="1">IF(E206="Document", IF(G206="", "", TODAY() - G206), "")</f>
        <v>172</v>
      </c>
      <c r="V206" s="82"/>
      <c r="W206" s="82"/>
      <c r="X206" s="82"/>
      <c r="Y206" s="28"/>
      <c r="Z206" s="28"/>
      <c r="AA206" s="28"/>
      <c r="AD206" s="21" t="s">
        <v>35</v>
      </c>
      <c r="AE206" s="19" t="s">
        <v>36</v>
      </c>
    </row>
    <row r="207" spans="1:31" ht="14.4" x14ac:dyDescent="0.3">
      <c r="A207" s="8">
        <v>4988</v>
      </c>
      <c r="B207" s="43" t="s">
        <v>37</v>
      </c>
      <c r="C207" s="8">
        <v>478</v>
      </c>
      <c r="D207" s="86" t="s">
        <v>38</v>
      </c>
      <c r="E207" s="8" t="s">
        <v>33</v>
      </c>
      <c r="F207" s="45">
        <v>46028</v>
      </c>
      <c r="G207" s="45">
        <v>46031</v>
      </c>
      <c r="H207" s="46">
        <v>274</v>
      </c>
      <c r="I207" s="47">
        <v>284</v>
      </c>
      <c r="J207" s="8"/>
      <c r="K207" s="48">
        <v>46033</v>
      </c>
      <c r="L207" s="46"/>
      <c r="M207" s="46"/>
      <c r="N207" s="91">
        <v>46034</v>
      </c>
      <c r="O207" s="87"/>
      <c r="P207" s="87"/>
      <c r="Q207" s="88"/>
      <c r="R207" s="88" t="str">
        <f>IF(Q207,Q207-K207,"")</f>
        <v/>
      </c>
      <c r="S207" s="88" t="str">
        <f>IF(R207="","",IF(R207&lt;=4,"Excellent",IF(R207&lt;=8,"Good",IF(R207&lt;=15,"Average",IF(R207&lt;=30,"Poor",IF(R207&gt;=30,"Bad"))))))</f>
        <v/>
      </c>
      <c r="T207" s="72" t="str">
        <f ca="1">IF(U207="","",IF(U207&lt;=3,"Excellent",IF(U207&lt;=7,"Good",IF(U207&lt;=14,"Average",IF(U207&lt;=30,"Poor",IF(U207&gt;=30,"Bad"))))))</f>
        <v/>
      </c>
      <c r="U207" s="73" t="str">
        <f ca="1">IF(E207="Document", IF(#REF!="", "", TODAY() -#REF!), "")</f>
        <v/>
      </c>
      <c r="V207" s="73"/>
      <c r="W207" s="74" t="s">
        <v>272</v>
      </c>
      <c r="X207" s="74" t="s">
        <v>61</v>
      </c>
      <c r="Y207" s="89"/>
      <c r="Z207" s="89"/>
      <c r="AD207" s="8" t="s">
        <v>35</v>
      </c>
      <c r="AE207" s="19" t="s">
        <v>36</v>
      </c>
    </row>
    <row r="208" spans="1:31" ht="14.4" x14ac:dyDescent="0.3">
      <c r="A208" s="21">
        <v>4782</v>
      </c>
      <c r="B208" s="55" t="s">
        <v>37</v>
      </c>
      <c r="C208" s="8">
        <v>478</v>
      </c>
      <c r="D208" s="67" t="s">
        <v>38</v>
      </c>
      <c r="E208" s="21" t="s">
        <v>33</v>
      </c>
      <c r="F208" s="10">
        <v>45880</v>
      </c>
      <c r="G208" s="10">
        <v>45884</v>
      </c>
      <c r="H208" s="22">
        <v>285</v>
      </c>
      <c r="I208" s="23">
        <v>285</v>
      </c>
      <c r="J208" s="24"/>
      <c r="K208" s="14">
        <v>45884</v>
      </c>
      <c r="L208" s="22"/>
      <c r="M208" s="22"/>
      <c r="T208" s="82" t="str">
        <f t="shared" ref="T208:T211" ca="1" si="102">IF($U208="","",IF($U208&lt;=3,"Excellent",IF($U208&lt;=7,"Good",IF($U208&lt;=14,"Average",IF($U208&lt;=30,"Poor",IF($U208&gt;=30,"Bad"))))))</f>
        <v/>
      </c>
      <c r="U208" s="82" t="str">
        <f t="shared" ref="U208:U211" ca="1" si="103">IF(E208="Document", IF(G208="", "", TODAY() - G208), "")</f>
        <v/>
      </c>
      <c r="V208" s="82"/>
      <c r="W208" s="83" t="s">
        <v>273</v>
      </c>
      <c r="X208" s="83" t="s">
        <v>123</v>
      </c>
      <c r="Y208" s="28"/>
      <c r="Z208" s="28"/>
      <c r="AA208" s="28"/>
      <c r="AD208" s="21" t="s">
        <v>35</v>
      </c>
      <c r="AE208" s="19" t="s">
        <v>36</v>
      </c>
    </row>
    <row r="209" spans="1:31" ht="14.4" x14ac:dyDescent="0.3">
      <c r="A209" s="21">
        <v>4863</v>
      </c>
      <c r="B209" s="7" t="s">
        <v>163</v>
      </c>
      <c r="C209" s="8">
        <v>478</v>
      </c>
      <c r="D209" s="67" t="s">
        <v>76</v>
      </c>
      <c r="E209" s="21" t="s">
        <v>33</v>
      </c>
      <c r="F209" s="64">
        <v>45930</v>
      </c>
      <c r="G209" s="64">
        <v>45930</v>
      </c>
      <c r="H209" s="22">
        <v>27</v>
      </c>
      <c r="I209" s="23">
        <v>27</v>
      </c>
      <c r="J209" s="24"/>
      <c r="K209" s="14">
        <v>45930</v>
      </c>
      <c r="L209" s="22"/>
      <c r="M209" s="22"/>
      <c r="T209" s="82" t="str">
        <f t="shared" ca="1" si="102"/>
        <v/>
      </c>
      <c r="U209" s="82" t="str">
        <f t="shared" ca="1" si="103"/>
        <v/>
      </c>
      <c r="V209" s="75">
        <f>1</f>
        <v>1</v>
      </c>
      <c r="W209" s="82"/>
      <c r="X209" s="83" t="s">
        <v>164</v>
      </c>
      <c r="Y209" s="28"/>
      <c r="Z209" s="28"/>
      <c r="AA209" s="28"/>
      <c r="AD209" s="21" t="s">
        <v>35</v>
      </c>
      <c r="AE209" s="19" t="s">
        <v>36</v>
      </c>
    </row>
    <row r="210" spans="1:31" ht="14.4" x14ac:dyDescent="0.3">
      <c r="A210" s="21">
        <v>4798</v>
      </c>
      <c r="B210" s="55" t="s">
        <v>47</v>
      </c>
      <c r="C210" s="8">
        <v>482</v>
      </c>
      <c r="D210" s="67" t="s">
        <v>32</v>
      </c>
      <c r="E210" s="21" t="s">
        <v>33</v>
      </c>
      <c r="F210" s="10">
        <v>45884</v>
      </c>
      <c r="G210" s="10">
        <v>45898</v>
      </c>
      <c r="H210" s="22">
        <v>318</v>
      </c>
      <c r="I210" s="23">
        <v>318</v>
      </c>
      <c r="J210" s="24"/>
      <c r="K210" s="85">
        <v>45898</v>
      </c>
      <c r="L210" s="22"/>
      <c r="M210" s="22"/>
      <c r="T210" s="82" t="str">
        <f t="shared" ca="1" si="102"/>
        <v/>
      </c>
      <c r="U210" s="82" t="str">
        <f t="shared" ca="1" si="103"/>
        <v/>
      </c>
      <c r="V210" s="82"/>
      <c r="W210" s="83" t="s">
        <v>214</v>
      </c>
      <c r="X210" s="83" t="s">
        <v>274</v>
      </c>
      <c r="Y210" s="28"/>
      <c r="Z210" s="28"/>
      <c r="AA210" s="28"/>
      <c r="AD210" s="21" t="s">
        <v>35</v>
      </c>
      <c r="AE210" s="19" t="s">
        <v>36</v>
      </c>
    </row>
    <row r="211" spans="1:31" ht="14.4" x14ac:dyDescent="0.3">
      <c r="A211" s="21">
        <v>4844</v>
      </c>
      <c r="B211" s="37" t="s">
        <v>37</v>
      </c>
      <c r="C211" s="8">
        <v>485</v>
      </c>
      <c r="D211" s="67" t="s">
        <v>38</v>
      </c>
      <c r="E211" s="21" t="s">
        <v>33</v>
      </c>
      <c r="F211" s="66">
        <v>45932</v>
      </c>
      <c r="G211" s="66">
        <v>45945</v>
      </c>
      <c r="H211" s="22">
        <v>338</v>
      </c>
      <c r="I211" s="23">
        <v>338</v>
      </c>
      <c r="J211" s="24"/>
      <c r="K211" s="14">
        <v>45945</v>
      </c>
      <c r="L211" s="22"/>
      <c r="M211" s="22"/>
      <c r="T211" s="82" t="str">
        <f t="shared" ca="1" si="102"/>
        <v/>
      </c>
      <c r="U211" s="82" t="str">
        <f t="shared" ca="1" si="103"/>
        <v/>
      </c>
      <c r="V211" s="82"/>
      <c r="W211" s="83" t="s">
        <v>275</v>
      </c>
      <c r="X211" s="83" t="s">
        <v>59</v>
      </c>
      <c r="Y211" s="28"/>
      <c r="Z211" s="28"/>
      <c r="AA211" s="28"/>
      <c r="AD211" s="21" t="s">
        <v>35</v>
      </c>
      <c r="AE211" s="19" t="s">
        <v>36</v>
      </c>
    </row>
    <row r="212" spans="1:31" ht="14.4" x14ac:dyDescent="0.3">
      <c r="A212" s="21">
        <v>5052</v>
      </c>
      <c r="B212" s="26" t="s">
        <v>276</v>
      </c>
      <c r="C212" s="8">
        <v>486</v>
      </c>
      <c r="D212" s="67" t="s">
        <v>38</v>
      </c>
      <c r="E212" s="6" t="s">
        <v>33</v>
      </c>
      <c r="F212" s="27">
        <v>46076</v>
      </c>
      <c r="G212" s="27">
        <v>46082</v>
      </c>
      <c r="H212" s="29">
        <v>274</v>
      </c>
      <c r="I212" s="30">
        <v>349</v>
      </c>
      <c r="J212" s="21"/>
      <c r="K212" s="31">
        <v>46084</v>
      </c>
      <c r="L212" s="29"/>
      <c r="M212" s="29"/>
      <c r="N212" s="69">
        <v>46085</v>
      </c>
      <c r="O212" s="70"/>
      <c r="P212" s="70"/>
      <c r="Q212" s="71"/>
      <c r="R212" s="71" t="str">
        <f>IF(Q212,Q212-K212,"")</f>
        <v/>
      </c>
      <c r="S212" s="71" t="str">
        <f>IF(R212="","",IF(R212&lt;=4,"Excellent",IF(R212&lt;=8,"Good",IF(R212&lt;=15,"Average",IF(R212&lt;=30,"Poor",IF(R212&gt;=30,"Bad"))))))</f>
        <v/>
      </c>
      <c r="T212" s="68" t="str">
        <f ca="1">IF(U212="","",IF(U212&lt;=3,"Excellent",IF(U212&lt;=7,"Good",IF(U212&lt;=14,"Average",IF(U212&lt;=30,"Poor",IF(U212&gt;=30,"Bad"))))))</f>
        <v/>
      </c>
      <c r="U212" s="68" t="str">
        <f ca="1">IF(E212="Document", IF(#REF!="", "", TODAY() -#REF!), "")</f>
        <v/>
      </c>
      <c r="V212" s="68"/>
      <c r="W212" s="78" t="s">
        <v>277</v>
      </c>
      <c r="X212" s="78" t="s">
        <v>72</v>
      </c>
      <c r="Y212" s="75"/>
      <c r="Z212" s="75"/>
      <c r="AD212" s="21" t="s">
        <v>35</v>
      </c>
      <c r="AE212" s="19" t="s">
        <v>36</v>
      </c>
    </row>
    <row r="213" spans="1:31" ht="14.4" x14ac:dyDescent="0.3">
      <c r="A213" s="6">
        <v>4651</v>
      </c>
      <c r="B213" s="7" t="s">
        <v>84</v>
      </c>
      <c r="C213" s="8">
        <v>486</v>
      </c>
      <c r="D213" s="67" t="s">
        <v>38</v>
      </c>
      <c r="E213" s="6" t="s">
        <v>33</v>
      </c>
      <c r="F213" s="10">
        <v>45796</v>
      </c>
      <c r="G213" s="10">
        <v>45800</v>
      </c>
      <c r="H213" s="11">
        <v>346</v>
      </c>
      <c r="I213" s="12">
        <v>346</v>
      </c>
      <c r="J213" s="13"/>
      <c r="K213" s="14">
        <v>45803</v>
      </c>
      <c r="L213" s="11"/>
      <c r="M213" s="11"/>
      <c r="T213" s="78" t="str">
        <f t="shared" ref="T213:T219" ca="1" si="104">IF($U213="","",IF($U213&lt;=3,"Excellent",IF($U213&lt;=7,"Good",IF($U213&lt;=14,"Average",IF($U213&lt;=30,"Poor",IF($U213&gt;=30,"Bad"))))))</f>
        <v/>
      </c>
      <c r="U213" s="78" t="str">
        <f t="shared" ref="U213:U226" ca="1" si="105">IF(E213="Document", IF(G213="", "", TODAY() - G213), "")</f>
        <v/>
      </c>
      <c r="V213" s="78"/>
      <c r="W213" s="78"/>
      <c r="X213" s="74" t="s">
        <v>34</v>
      </c>
      <c r="Y213" s="18"/>
      <c r="Z213" s="18"/>
      <c r="AA213" s="18"/>
      <c r="AD213" s="6" t="s">
        <v>35</v>
      </c>
      <c r="AE213" s="19" t="s">
        <v>36</v>
      </c>
    </row>
    <row r="214" spans="1:31" ht="14.4" x14ac:dyDescent="0.3">
      <c r="A214" s="21">
        <v>4885</v>
      </c>
      <c r="B214" s="37" t="s">
        <v>255</v>
      </c>
      <c r="C214" s="8">
        <v>486</v>
      </c>
      <c r="D214" s="67" t="s">
        <v>76</v>
      </c>
      <c r="E214" s="21" t="s">
        <v>33</v>
      </c>
      <c r="F214" s="42">
        <v>45953</v>
      </c>
      <c r="G214" s="42">
        <v>45953</v>
      </c>
      <c r="H214" s="22">
        <v>27</v>
      </c>
      <c r="I214" s="23">
        <v>27</v>
      </c>
      <c r="J214" s="24"/>
      <c r="K214" s="14">
        <v>45953</v>
      </c>
      <c r="L214" s="22"/>
      <c r="M214" s="22"/>
      <c r="T214" s="82" t="str">
        <f t="shared" ca="1" si="104"/>
        <v/>
      </c>
      <c r="U214" s="82" t="str">
        <f t="shared" ca="1" si="105"/>
        <v/>
      </c>
      <c r="V214" s="82"/>
      <c r="W214" s="83" t="s">
        <v>278</v>
      </c>
      <c r="X214" s="83" t="s">
        <v>279</v>
      </c>
      <c r="Y214" s="28"/>
      <c r="Z214" s="28"/>
      <c r="AA214" s="28"/>
      <c r="AD214" s="21" t="s">
        <v>35</v>
      </c>
      <c r="AE214" s="19" t="s">
        <v>36</v>
      </c>
    </row>
    <row r="215" spans="1:31" ht="14.4" x14ac:dyDescent="0.3">
      <c r="A215" s="21">
        <v>4759</v>
      </c>
      <c r="B215" s="7" t="s">
        <v>280</v>
      </c>
      <c r="C215" s="8">
        <v>487</v>
      </c>
      <c r="D215" s="67" t="s">
        <v>76</v>
      </c>
      <c r="E215" s="21" t="s">
        <v>33</v>
      </c>
      <c r="F215" s="10">
        <v>45861</v>
      </c>
      <c r="G215" s="10">
        <v>45862</v>
      </c>
      <c r="H215" s="22">
        <v>27</v>
      </c>
      <c r="I215" s="23">
        <v>27</v>
      </c>
      <c r="J215" s="24"/>
      <c r="K215" s="14">
        <v>45866</v>
      </c>
      <c r="L215" s="22"/>
      <c r="M215" s="22"/>
      <c r="T215" s="82" t="str">
        <f t="shared" ca="1" si="104"/>
        <v/>
      </c>
      <c r="U215" s="82" t="str">
        <f t="shared" ca="1" si="105"/>
        <v/>
      </c>
      <c r="V215" s="75">
        <f>3</f>
        <v>3</v>
      </c>
      <c r="W215" s="83" t="s">
        <v>281</v>
      </c>
      <c r="X215" s="83" t="s">
        <v>174</v>
      </c>
      <c r="Y215" s="28"/>
      <c r="Z215" s="28"/>
      <c r="AA215" s="28"/>
      <c r="AD215" s="21" t="s">
        <v>35</v>
      </c>
      <c r="AE215" s="19" t="s">
        <v>36</v>
      </c>
    </row>
    <row r="216" spans="1:31" ht="14.4" x14ac:dyDescent="0.3">
      <c r="A216" s="21">
        <v>4949</v>
      </c>
      <c r="B216" s="37" t="s">
        <v>271</v>
      </c>
      <c r="C216" s="8">
        <v>487</v>
      </c>
      <c r="D216" s="67" t="s">
        <v>76</v>
      </c>
      <c r="E216" s="21" t="s">
        <v>33</v>
      </c>
      <c r="F216" s="38">
        <v>45985</v>
      </c>
      <c r="G216" s="38">
        <v>45986</v>
      </c>
      <c r="H216" s="22">
        <v>27</v>
      </c>
      <c r="I216" s="23">
        <v>27</v>
      </c>
      <c r="J216" s="24"/>
      <c r="K216" s="14">
        <v>45986</v>
      </c>
      <c r="L216" s="22"/>
      <c r="M216" s="22"/>
      <c r="T216" s="82" t="str">
        <f t="shared" ca="1" si="104"/>
        <v/>
      </c>
      <c r="U216" s="82" t="str">
        <f t="shared" ca="1" si="105"/>
        <v/>
      </c>
      <c r="V216" s="82"/>
      <c r="W216" s="83" t="s">
        <v>51</v>
      </c>
      <c r="X216" s="83" t="s">
        <v>187</v>
      </c>
      <c r="Y216" s="28"/>
      <c r="Z216" s="28"/>
      <c r="AA216" s="28"/>
      <c r="AD216" s="21" t="s">
        <v>35</v>
      </c>
      <c r="AE216" s="19" t="s">
        <v>36</v>
      </c>
    </row>
    <row r="217" spans="1:31" ht="14.4" x14ac:dyDescent="0.3">
      <c r="A217" s="6">
        <v>4554</v>
      </c>
      <c r="B217" s="7" t="s">
        <v>103</v>
      </c>
      <c r="C217" s="8">
        <v>492</v>
      </c>
      <c r="D217" s="67" t="s">
        <v>32</v>
      </c>
      <c r="E217" s="6" t="s">
        <v>46</v>
      </c>
      <c r="F217" s="10">
        <v>45706</v>
      </c>
      <c r="G217" s="10">
        <v>45706</v>
      </c>
      <c r="H217" s="16"/>
      <c r="I217" s="53"/>
      <c r="J217" s="54"/>
      <c r="K217" s="41"/>
      <c r="L217" s="11"/>
      <c r="M217" s="11"/>
      <c r="T217" s="77" t="str">
        <f t="shared" ca="1" si="104"/>
        <v>Bad</v>
      </c>
      <c r="U217" s="73">
        <f t="shared" ca="1" si="105"/>
        <v>429</v>
      </c>
      <c r="V217" s="73">
        <f t="shared" ref="V217:V219" si="106">109</f>
        <v>109</v>
      </c>
      <c r="W217" s="78"/>
      <c r="X217" s="78"/>
      <c r="Y217" s="18"/>
      <c r="Z217" s="18"/>
      <c r="AA217" s="18"/>
      <c r="AD217" s="6" t="s">
        <v>35</v>
      </c>
      <c r="AE217" s="19" t="s">
        <v>36</v>
      </c>
    </row>
    <row r="218" spans="1:31" ht="14.4" x14ac:dyDescent="0.3">
      <c r="A218" s="6">
        <v>4590</v>
      </c>
      <c r="B218" s="7" t="s">
        <v>282</v>
      </c>
      <c r="C218" s="8">
        <v>492</v>
      </c>
      <c r="D218" s="67" t="s">
        <v>32</v>
      </c>
      <c r="E218" s="6" t="s">
        <v>46</v>
      </c>
      <c r="F218" s="10">
        <v>45714</v>
      </c>
      <c r="G218" s="10">
        <v>45714</v>
      </c>
      <c r="H218" s="16"/>
      <c r="I218" s="53"/>
      <c r="J218" s="54"/>
      <c r="K218" s="41"/>
      <c r="L218" s="11"/>
      <c r="M218" s="11"/>
      <c r="T218" s="77" t="str">
        <f t="shared" ca="1" si="104"/>
        <v>Bad</v>
      </c>
      <c r="U218" s="73">
        <f t="shared" ca="1" si="105"/>
        <v>421</v>
      </c>
      <c r="V218" s="73">
        <f t="shared" si="106"/>
        <v>109</v>
      </c>
      <c r="W218" s="78"/>
      <c r="X218" s="78"/>
      <c r="Y218" s="18"/>
      <c r="Z218" s="18"/>
      <c r="AA218" s="18"/>
      <c r="AD218" s="6" t="s">
        <v>35</v>
      </c>
      <c r="AE218" s="19" t="s">
        <v>36</v>
      </c>
    </row>
    <row r="219" spans="1:31" ht="14.4" x14ac:dyDescent="0.3">
      <c r="A219" s="6">
        <v>4638</v>
      </c>
      <c r="B219" s="7" t="s">
        <v>283</v>
      </c>
      <c r="C219" s="8">
        <v>492</v>
      </c>
      <c r="D219" s="67" t="s">
        <v>32</v>
      </c>
      <c r="E219" s="6" t="s">
        <v>46</v>
      </c>
      <c r="F219" s="10">
        <v>45771</v>
      </c>
      <c r="G219" s="10">
        <v>45772</v>
      </c>
      <c r="H219" s="16"/>
      <c r="I219" s="53"/>
      <c r="J219" s="54"/>
      <c r="K219" s="41"/>
      <c r="L219" s="11"/>
      <c r="M219" s="11"/>
      <c r="T219" s="77" t="str">
        <f t="shared" ca="1" si="104"/>
        <v>Bad</v>
      </c>
      <c r="U219" s="73">
        <f t="shared" ca="1" si="105"/>
        <v>363</v>
      </c>
      <c r="V219" s="73">
        <f t="shared" si="106"/>
        <v>109</v>
      </c>
      <c r="W219" s="78"/>
      <c r="X219" s="78"/>
      <c r="Y219" s="18"/>
      <c r="Z219" s="18"/>
      <c r="AA219" s="18"/>
      <c r="AD219" s="6" t="s">
        <v>35</v>
      </c>
      <c r="AE219" s="19" t="s">
        <v>36</v>
      </c>
    </row>
    <row r="220" spans="1:31" ht="14.4" x14ac:dyDescent="0.3">
      <c r="A220" s="6">
        <v>4690</v>
      </c>
      <c r="B220" s="7" t="s">
        <v>284</v>
      </c>
      <c r="C220" s="8">
        <v>492</v>
      </c>
      <c r="D220" s="67" t="s">
        <v>38</v>
      </c>
      <c r="E220" s="6" t="s">
        <v>33</v>
      </c>
      <c r="F220" s="10">
        <v>45821</v>
      </c>
      <c r="G220" s="10">
        <v>45821</v>
      </c>
      <c r="H220" s="11">
        <v>15</v>
      </c>
      <c r="I220" s="12">
        <v>25</v>
      </c>
      <c r="J220" s="13"/>
      <c r="K220" s="14">
        <v>45827</v>
      </c>
      <c r="L220" s="11"/>
      <c r="M220" s="11"/>
      <c r="T220" s="78"/>
      <c r="U220" s="78" t="str">
        <f t="shared" ca="1" si="105"/>
        <v/>
      </c>
      <c r="V220" s="78"/>
      <c r="W220" s="74" t="s">
        <v>106</v>
      </c>
      <c r="X220" s="74" t="s">
        <v>167</v>
      </c>
      <c r="Y220" s="18"/>
      <c r="Z220" s="18"/>
      <c r="AA220" s="18"/>
      <c r="AD220" s="6" t="s">
        <v>35</v>
      </c>
      <c r="AE220" s="19" t="s">
        <v>36</v>
      </c>
    </row>
    <row r="221" spans="1:31" ht="14.4" x14ac:dyDescent="0.3">
      <c r="A221" s="21">
        <v>4920</v>
      </c>
      <c r="B221" s="37" t="s">
        <v>47</v>
      </c>
      <c r="C221" s="8">
        <v>495</v>
      </c>
      <c r="D221" s="67" t="s">
        <v>32</v>
      </c>
      <c r="E221" s="21" t="s">
        <v>46</v>
      </c>
      <c r="F221" s="42">
        <v>45986</v>
      </c>
      <c r="G221" s="42">
        <v>45990</v>
      </c>
      <c r="H221" s="25"/>
      <c r="I221" s="39"/>
      <c r="J221" s="40"/>
      <c r="K221" s="85">
        <v>46017</v>
      </c>
      <c r="L221" s="22"/>
      <c r="M221" s="22"/>
      <c r="T221" s="81" t="str">
        <f t="shared" ref="T221:T226" ca="1" si="107">IF($U221="","",IF($U221&lt;=3,"Excellent",IF($U221&lt;=7,"Good",IF($U221&lt;=14,"Average",IF($U221&lt;=30,"Poor",IF($U221&gt;=30,"Bad"))))))</f>
        <v>Bad</v>
      </c>
      <c r="U221" s="75">
        <f t="shared" ca="1" si="105"/>
        <v>145</v>
      </c>
      <c r="V221" s="82"/>
      <c r="W221" s="82"/>
      <c r="X221" s="82"/>
      <c r="Y221" s="28"/>
      <c r="Z221" s="28"/>
      <c r="AA221" s="28"/>
      <c r="AD221" s="21" t="s">
        <v>35</v>
      </c>
      <c r="AE221" s="19" t="s">
        <v>36</v>
      </c>
    </row>
    <row r="222" spans="1:31" ht="14.4" x14ac:dyDescent="0.3">
      <c r="A222" s="6">
        <v>4659</v>
      </c>
      <c r="B222" s="7" t="s">
        <v>47</v>
      </c>
      <c r="C222" s="8">
        <v>503</v>
      </c>
      <c r="D222" s="67" t="s">
        <v>32</v>
      </c>
      <c r="E222" s="6" t="s">
        <v>33</v>
      </c>
      <c r="F222" s="10">
        <v>45831</v>
      </c>
      <c r="G222" s="10">
        <v>45837</v>
      </c>
      <c r="H222" s="11">
        <v>256</v>
      </c>
      <c r="I222" s="12">
        <v>276</v>
      </c>
      <c r="J222" s="13"/>
      <c r="K222" s="14">
        <v>45839</v>
      </c>
      <c r="L222" s="11"/>
      <c r="M222" s="11"/>
      <c r="T222" s="78" t="str">
        <f t="shared" ca="1" si="107"/>
        <v/>
      </c>
      <c r="U222" s="78" t="str">
        <f t="shared" ca="1" si="105"/>
        <v/>
      </c>
      <c r="V222" s="78"/>
      <c r="W222" s="74" t="s">
        <v>106</v>
      </c>
      <c r="X222" s="74" t="s">
        <v>107</v>
      </c>
      <c r="Y222" s="18"/>
      <c r="Z222" s="18"/>
      <c r="AA222" s="18"/>
      <c r="AD222" s="6" t="s">
        <v>35</v>
      </c>
      <c r="AE222" s="19" t="s">
        <v>36</v>
      </c>
    </row>
    <row r="223" spans="1:31" ht="14.4" x14ac:dyDescent="0.3">
      <c r="A223" s="21">
        <v>4950</v>
      </c>
      <c r="B223" s="37" t="s">
        <v>47</v>
      </c>
      <c r="C223" s="8">
        <v>503</v>
      </c>
      <c r="D223" s="67" t="s">
        <v>32</v>
      </c>
      <c r="E223" s="21" t="s">
        <v>33</v>
      </c>
      <c r="F223" s="38">
        <v>46006</v>
      </c>
      <c r="G223" s="38">
        <v>46012</v>
      </c>
      <c r="H223" s="22">
        <v>233</v>
      </c>
      <c r="I223" s="23">
        <v>233</v>
      </c>
      <c r="J223" s="24"/>
      <c r="K223" s="14">
        <v>46013</v>
      </c>
      <c r="L223" s="22"/>
      <c r="M223" s="22"/>
      <c r="T223" s="82" t="str">
        <f t="shared" ca="1" si="107"/>
        <v/>
      </c>
      <c r="U223" s="82" t="str">
        <f t="shared" ca="1" si="105"/>
        <v/>
      </c>
      <c r="V223" s="82"/>
      <c r="W223" s="82"/>
      <c r="X223" s="83" t="s">
        <v>285</v>
      </c>
      <c r="Y223" s="28"/>
      <c r="Z223" s="28"/>
      <c r="AA223" s="28"/>
      <c r="AD223" s="21" t="s">
        <v>35</v>
      </c>
      <c r="AE223" s="19" t="s">
        <v>36</v>
      </c>
    </row>
    <row r="224" spans="1:31" ht="14.4" x14ac:dyDescent="0.3">
      <c r="A224" s="21">
        <v>4720</v>
      </c>
      <c r="B224" s="7" t="s">
        <v>47</v>
      </c>
      <c r="C224" s="8">
        <v>506</v>
      </c>
      <c r="D224" s="67" t="s">
        <v>32</v>
      </c>
      <c r="E224" s="21" t="s">
        <v>33</v>
      </c>
      <c r="F224" s="10">
        <v>45852</v>
      </c>
      <c r="G224" s="10">
        <v>45855</v>
      </c>
      <c r="H224" s="22">
        <v>233</v>
      </c>
      <c r="I224" s="23">
        <v>233</v>
      </c>
      <c r="J224" s="24"/>
      <c r="K224" s="14">
        <v>45856</v>
      </c>
      <c r="L224" s="22"/>
      <c r="M224" s="22"/>
      <c r="T224" s="82" t="str">
        <f t="shared" ca="1" si="107"/>
        <v/>
      </c>
      <c r="U224" s="82" t="str">
        <f t="shared" ca="1" si="105"/>
        <v/>
      </c>
      <c r="V224" s="82"/>
      <c r="W224" s="83" t="s">
        <v>286</v>
      </c>
      <c r="X224" s="83" t="s">
        <v>287</v>
      </c>
      <c r="Y224" s="28"/>
      <c r="Z224" s="28"/>
      <c r="AA224" s="28"/>
      <c r="AD224" s="21" t="s">
        <v>55</v>
      </c>
      <c r="AE224" s="19" t="s">
        <v>36</v>
      </c>
    </row>
    <row r="225" spans="1:31" ht="14.4" x14ac:dyDescent="0.3">
      <c r="A225" s="21">
        <v>4905</v>
      </c>
      <c r="B225" s="84" t="s">
        <v>37</v>
      </c>
      <c r="C225" s="8">
        <v>509</v>
      </c>
      <c r="D225" s="92" t="s">
        <v>38</v>
      </c>
      <c r="E225" s="21" t="s">
        <v>33</v>
      </c>
      <c r="F225" s="42">
        <v>45978</v>
      </c>
      <c r="G225" s="42">
        <v>45981</v>
      </c>
      <c r="H225" s="22">
        <v>228</v>
      </c>
      <c r="I225" s="23">
        <v>258</v>
      </c>
      <c r="J225" s="24"/>
      <c r="K225" s="14">
        <v>45982</v>
      </c>
      <c r="L225" s="22"/>
      <c r="M225" s="22"/>
      <c r="T225" s="82" t="str">
        <f t="shared" ca="1" si="107"/>
        <v/>
      </c>
      <c r="U225" s="82" t="str">
        <f t="shared" ca="1" si="105"/>
        <v/>
      </c>
      <c r="V225" s="82"/>
      <c r="W225" s="83" t="s">
        <v>243</v>
      </c>
      <c r="X225" s="83" t="s">
        <v>249</v>
      </c>
      <c r="Y225" s="28"/>
      <c r="Z225" s="28"/>
      <c r="AA225" s="28"/>
      <c r="AD225" s="21" t="s">
        <v>35</v>
      </c>
      <c r="AE225" s="19" t="s">
        <v>36</v>
      </c>
    </row>
    <row r="226" spans="1:31" ht="14.4" x14ac:dyDescent="0.3">
      <c r="A226" s="6">
        <v>4529</v>
      </c>
      <c r="B226" s="76" t="s">
        <v>47</v>
      </c>
      <c r="C226" s="8">
        <v>519</v>
      </c>
      <c r="D226" s="92" t="s">
        <v>32</v>
      </c>
      <c r="E226" s="6" t="s">
        <v>46</v>
      </c>
      <c r="F226" s="10">
        <v>45677</v>
      </c>
      <c r="G226" s="10">
        <v>45683</v>
      </c>
      <c r="H226" s="16"/>
      <c r="I226" s="53"/>
      <c r="J226" s="54"/>
      <c r="K226" s="41"/>
      <c r="L226" s="11"/>
      <c r="M226" s="11"/>
      <c r="T226" s="77" t="str">
        <f t="shared" ca="1" si="107"/>
        <v>Bad</v>
      </c>
      <c r="U226" s="73">
        <f t="shared" ca="1" si="105"/>
        <v>452</v>
      </c>
      <c r="V226" s="73">
        <f>109</f>
        <v>109</v>
      </c>
      <c r="W226" s="78"/>
      <c r="X226" s="78"/>
      <c r="Y226" s="18"/>
      <c r="Z226" s="18"/>
      <c r="AA226" s="18"/>
      <c r="AD226" s="6" t="s">
        <v>35</v>
      </c>
      <c r="AE226" s="19" t="s">
        <v>36</v>
      </c>
    </row>
    <row r="227" spans="1:31" ht="14.4" x14ac:dyDescent="0.3">
      <c r="A227" s="21">
        <v>5079</v>
      </c>
      <c r="B227" s="79" t="s">
        <v>288</v>
      </c>
      <c r="C227" s="8">
        <v>526</v>
      </c>
      <c r="D227" s="92" t="s">
        <v>32</v>
      </c>
      <c r="E227" s="6" t="s">
        <v>33</v>
      </c>
      <c r="F227" s="27">
        <v>46076</v>
      </c>
      <c r="G227" s="27">
        <v>46085</v>
      </c>
      <c r="H227" s="29">
        <v>332</v>
      </c>
      <c r="I227" s="30">
        <v>357</v>
      </c>
      <c r="J227" s="21"/>
      <c r="K227" s="31">
        <v>46085</v>
      </c>
      <c r="L227" s="29"/>
      <c r="M227" s="29"/>
      <c r="N227" s="69">
        <v>46085</v>
      </c>
      <c r="O227" s="70"/>
      <c r="P227" s="70"/>
      <c r="Q227" s="71"/>
      <c r="R227" s="71" t="str">
        <f>IF(Q227,Q227-K227,"")</f>
        <v/>
      </c>
      <c r="S227" s="71" t="str">
        <f>IF(R227="","",IF(R227&lt;=4,"Excellent",IF(R227&lt;=8,"Good",IF(R227&lt;=15,"Average",IF(R227&lt;=30,"Poor",IF(R227&gt;=30,"Bad"))))))</f>
        <v/>
      </c>
      <c r="T227" s="68" t="str">
        <f ca="1">IF(U227="","",IF(U227&lt;=3,"Excellent",IF(U227&lt;=7,"Good",IF(U227&lt;=14,"Average",IF(U227&lt;=30,"Poor",IF(U227&gt;=30,"Bad"))))))</f>
        <v/>
      </c>
      <c r="U227" s="68" t="str">
        <f ca="1">IF(E227="Document", IF(#REF!="", "", TODAY() -#REF!), "")</f>
        <v/>
      </c>
      <c r="V227" s="68">
        <f>1</f>
        <v>1</v>
      </c>
      <c r="W227" s="78" t="s">
        <v>113</v>
      </c>
      <c r="X227" s="78" t="s">
        <v>114</v>
      </c>
      <c r="Y227" s="75"/>
      <c r="Z227" s="75"/>
      <c r="AD227" s="21" t="s">
        <v>35</v>
      </c>
      <c r="AE227" s="19" t="s">
        <v>36</v>
      </c>
    </row>
    <row r="228" spans="1:31" ht="14.4" x14ac:dyDescent="0.3">
      <c r="A228" s="21">
        <v>4811</v>
      </c>
      <c r="B228" s="93" t="s">
        <v>37</v>
      </c>
      <c r="C228" s="8">
        <v>526</v>
      </c>
      <c r="D228" s="92" t="s">
        <v>38</v>
      </c>
      <c r="E228" s="21" t="s">
        <v>33</v>
      </c>
      <c r="F228" s="10">
        <v>45902</v>
      </c>
      <c r="G228" s="10">
        <v>45908</v>
      </c>
      <c r="H228" s="22">
        <v>350</v>
      </c>
      <c r="I228" s="23">
        <v>350</v>
      </c>
      <c r="J228" s="24"/>
      <c r="K228" s="14">
        <v>45909</v>
      </c>
      <c r="L228" s="22"/>
      <c r="M228" s="22"/>
      <c r="T228" s="82" t="str">
        <f t="shared" ref="T228:T232" ca="1" si="108">IF($U228="","",IF($U228&lt;=3,"Excellent",IF($U228&lt;=7,"Good",IF($U228&lt;=14,"Average",IF($U228&lt;=30,"Poor",IF($U228&gt;=30,"Bad"))))))</f>
        <v/>
      </c>
      <c r="U228" s="82" t="str">
        <f t="shared" ref="U228:U232" ca="1" si="109">IF(E228="Document", IF(G228="", "", TODAY() - G228), "")</f>
        <v/>
      </c>
      <c r="V228" s="82"/>
      <c r="W228" s="83" t="s">
        <v>289</v>
      </c>
      <c r="X228" s="83" t="s">
        <v>177</v>
      </c>
      <c r="Y228" s="28"/>
      <c r="Z228" s="28"/>
      <c r="AA228" s="28"/>
      <c r="AD228" s="21" t="s">
        <v>35</v>
      </c>
      <c r="AE228" s="19" t="s">
        <v>36</v>
      </c>
    </row>
    <row r="229" spans="1:31" ht="14.4" x14ac:dyDescent="0.3">
      <c r="A229" s="6">
        <v>4657</v>
      </c>
      <c r="B229" s="76" t="s">
        <v>73</v>
      </c>
      <c r="C229" s="8">
        <v>533</v>
      </c>
      <c r="D229" s="92" t="s">
        <v>32</v>
      </c>
      <c r="E229" s="6" t="s">
        <v>33</v>
      </c>
      <c r="F229" s="10">
        <v>45789</v>
      </c>
      <c r="G229" s="10">
        <v>45795</v>
      </c>
      <c r="H229" s="11">
        <v>189</v>
      </c>
      <c r="I229" s="12">
        <v>229</v>
      </c>
      <c r="J229" s="13"/>
      <c r="K229" s="14">
        <v>45796</v>
      </c>
      <c r="L229" s="11"/>
      <c r="M229" s="11"/>
      <c r="T229" s="78" t="str">
        <f t="shared" ca="1" si="108"/>
        <v/>
      </c>
      <c r="U229" s="78" t="str">
        <f t="shared" ca="1" si="109"/>
        <v/>
      </c>
      <c r="V229" s="78"/>
      <c r="W229" s="78"/>
      <c r="X229" s="74" t="s">
        <v>34</v>
      </c>
      <c r="Y229" s="18"/>
      <c r="Z229" s="18"/>
      <c r="AA229" s="18"/>
      <c r="AD229" s="6" t="s">
        <v>35</v>
      </c>
      <c r="AE229" s="19" t="s">
        <v>36</v>
      </c>
    </row>
    <row r="230" spans="1:31" ht="14.4" x14ac:dyDescent="0.3">
      <c r="A230" s="6">
        <v>4371</v>
      </c>
      <c r="B230" s="76" t="s">
        <v>95</v>
      </c>
      <c r="C230" s="8">
        <v>535</v>
      </c>
      <c r="D230" s="92" t="s">
        <v>32</v>
      </c>
      <c r="E230" s="6" t="s">
        <v>290</v>
      </c>
      <c r="F230" s="10">
        <v>45817</v>
      </c>
      <c r="G230" s="10">
        <v>45823</v>
      </c>
      <c r="H230" s="16"/>
      <c r="I230" s="53"/>
      <c r="J230" s="54"/>
      <c r="K230" s="41"/>
      <c r="L230" s="16"/>
      <c r="M230" s="16"/>
      <c r="T230" s="78" t="str">
        <f t="shared" ca="1" si="108"/>
        <v/>
      </c>
      <c r="U230" s="78" t="str">
        <f t="shared" ca="1" si="109"/>
        <v/>
      </c>
      <c r="V230" s="78"/>
      <c r="W230" s="78"/>
      <c r="X230" s="78"/>
      <c r="Y230" s="18"/>
      <c r="Z230" s="18"/>
      <c r="AA230" s="18"/>
      <c r="AD230" s="6" t="s">
        <v>55</v>
      </c>
      <c r="AE230" s="19" t="s">
        <v>36</v>
      </c>
    </row>
    <row r="231" spans="1:31" ht="14.4" x14ac:dyDescent="0.3">
      <c r="A231" s="21">
        <v>4725</v>
      </c>
      <c r="B231" s="76" t="s">
        <v>47</v>
      </c>
      <c r="C231" s="8">
        <v>536</v>
      </c>
      <c r="D231" s="92" t="s">
        <v>32</v>
      </c>
      <c r="E231" s="21" t="s">
        <v>33</v>
      </c>
      <c r="F231" s="10">
        <v>45852</v>
      </c>
      <c r="G231" s="10">
        <v>45858</v>
      </c>
      <c r="H231" s="22">
        <v>257</v>
      </c>
      <c r="I231" s="23">
        <v>282</v>
      </c>
      <c r="J231" s="24"/>
      <c r="K231" s="14">
        <v>45859</v>
      </c>
      <c r="L231" s="22"/>
      <c r="M231" s="22"/>
      <c r="T231" s="82" t="str">
        <f t="shared" ca="1" si="108"/>
        <v/>
      </c>
      <c r="U231" s="82" t="str">
        <f t="shared" ca="1" si="109"/>
        <v/>
      </c>
      <c r="V231" s="75">
        <f>4</f>
        <v>4</v>
      </c>
      <c r="W231" s="83" t="s">
        <v>291</v>
      </c>
      <c r="X231" s="83" t="s">
        <v>292</v>
      </c>
      <c r="Y231" s="28"/>
      <c r="Z231" s="28"/>
      <c r="AA231" s="28"/>
      <c r="AD231" s="21" t="s">
        <v>35</v>
      </c>
      <c r="AE231" s="19" t="s">
        <v>36</v>
      </c>
    </row>
    <row r="232" spans="1:31" ht="14.4" x14ac:dyDescent="0.3">
      <c r="A232" s="21">
        <v>4948</v>
      </c>
      <c r="B232" s="84" t="s">
        <v>47</v>
      </c>
      <c r="C232" s="8">
        <v>536</v>
      </c>
      <c r="D232" s="92" t="s">
        <v>32</v>
      </c>
      <c r="E232" s="21" t="s">
        <v>33</v>
      </c>
      <c r="F232" s="38">
        <v>46009</v>
      </c>
      <c r="G232" s="38">
        <v>46015</v>
      </c>
      <c r="H232" s="22">
        <v>222</v>
      </c>
      <c r="I232" s="23">
        <v>252</v>
      </c>
      <c r="J232" s="24"/>
      <c r="K232" s="14">
        <v>46017</v>
      </c>
      <c r="L232" s="22"/>
      <c r="M232" s="22"/>
      <c r="T232" s="82" t="str">
        <f t="shared" ca="1" si="108"/>
        <v/>
      </c>
      <c r="U232" s="82" t="str">
        <f t="shared" ca="1" si="109"/>
        <v/>
      </c>
      <c r="V232" s="82"/>
      <c r="W232" s="83" t="s">
        <v>233</v>
      </c>
      <c r="X232" s="83" t="s">
        <v>105</v>
      </c>
      <c r="Y232" s="28"/>
      <c r="Z232" s="28"/>
      <c r="AA232" s="28"/>
      <c r="AD232" s="21" t="s">
        <v>35</v>
      </c>
      <c r="AE232" s="19" t="s">
        <v>36</v>
      </c>
    </row>
    <row r="233" spans="1:31" ht="14.4" x14ac:dyDescent="0.3">
      <c r="A233" s="21">
        <v>5075</v>
      </c>
      <c r="B233" s="79" t="s">
        <v>293</v>
      </c>
      <c r="C233" s="8">
        <v>540</v>
      </c>
      <c r="D233" s="92" t="s">
        <v>38</v>
      </c>
      <c r="E233" s="6" t="s">
        <v>33</v>
      </c>
      <c r="F233" s="27">
        <v>46076</v>
      </c>
      <c r="G233" s="27">
        <v>46082</v>
      </c>
      <c r="H233" s="29">
        <v>275</v>
      </c>
      <c r="I233" s="30">
        <v>305</v>
      </c>
      <c r="J233" s="21"/>
      <c r="K233" s="31">
        <v>46086</v>
      </c>
      <c r="L233" s="29"/>
      <c r="M233" s="29"/>
      <c r="N233" s="69">
        <v>46086</v>
      </c>
      <c r="O233" s="70"/>
      <c r="P233" s="70"/>
      <c r="Q233" s="71"/>
      <c r="R233" s="71" t="str">
        <f>IF(Q233,Q233-K233,"")</f>
        <v/>
      </c>
      <c r="S233" s="71" t="str">
        <f>IF(R233="","",IF(R233&lt;=4,"Excellent",IF(R233&lt;=8,"Good",IF(R233&lt;=15,"Average",IF(R233&lt;=30,"Poor",IF(R233&gt;=30,"Bad"))))))</f>
        <v/>
      </c>
      <c r="T233" s="68" t="str">
        <f ca="1">IF(U233="","",IF(U233&lt;=3,"Excellent",IF(U233&lt;=7,"Good",IF(U233&lt;=14,"Average",IF(U233&lt;=30,"Poor",IF(U233&gt;=30,"Bad"))))))</f>
        <v/>
      </c>
      <c r="U233" s="68" t="str">
        <f ca="1">IF(E233="Document", IF(#REF!="", "", TODAY() -#REF!), "")</f>
        <v/>
      </c>
      <c r="V233" s="68"/>
      <c r="W233" s="78" t="s">
        <v>128</v>
      </c>
      <c r="X233" s="78" t="s">
        <v>294</v>
      </c>
      <c r="Y233" s="75"/>
      <c r="Z233" s="75"/>
      <c r="AD233" s="21" t="s">
        <v>35</v>
      </c>
      <c r="AE233" s="19" t="s">
        <v>36</v>
      </c>
    </row>
    <row r="234" spans="1:31" ht="14.4" x14ac:dyDescent="0.3">
      <c r="A234" s="21">
        <v>4772</v>
      </c>
      <c r="B234" s="76" t="s">
        <v>295</v>
      </c>
      <c r="C234" s="8">
        <v>540</v>
      </c>
      <c r="D234" s="92" t="s">
        <v>76</v>
      </c>
      <c r="E234" s="21" t="s">
        <v>33</v>
      </c>
      <c r="F234" s="10">
        <v>45866</v>
      </c>
      <c r="G234" s="10">
        <v>45867</v>
      </c>
      <c r="H234" s="22">
        <v>27</v>
      </c>
      <c r="I234" s="23">
        <v>27</v>
      </c>
      <c r="J234" s="24"/>
      <c r="K234" s="14">
        <v>45875</v>
      </c>
      <c r="L234" s="22"/>
      <c r="M234" s="22"/>
      <c r="T234" s="82" t="str">
        <f t="shared" ref="T234:T238" ca="1" si="110">IF($U234="","",IF($U234&lt;=3,"Excellent",IF($U234&lt;=7,"Good",IF($U234&lt;=14,"Average",IF($U234&lt;=30,"Poor",IF($U234&gt;=30,"Bad"))))))</f>
        <v/>
      </c>
      <c r="U234" s="82" t="str">
        <f t="shared" ref="U234:U238" ca="1" si="111">IF(E234="Document", IF(G234="", "", TODAY() - G234), "")</f>
        <v/>
      </c>
      <c r="V234" s="75">
        <f>6</f>
        <v>6</v>
      </c>
      <c r="W234" s="83" t="s">
        <v>296</v>
      </c>
      <c r="X234" s="83" t="s">
        <v>297</v>
      </c>
      <c r="Y234" s="28"/>
      <c r="Z234" s="28"/>
      <c r="AA234" s="28"/>
      <c r="AD234" s="21" t="s">
        <v>35</v>
      </c>
      <c r="AE234" s="19" t="s">
        <v>36</v>
      </c>
    </row>
    <row r="235" spans="1:31" ht="14.4" x14ac:dyDescent="0.3">
      <c r="A235" s="21">
        <v>4805</v>
      </c>
      <c r="B235" s="93" t="s">
        <v>37</v>
      </c>
      <c r="C235" s="8">
        <v>540</v>
      </c>
      <c r="D235" s="92" t="s">
        <v>38</v>
      </c>
      <c r="E235" s="21" t="s">
        <v>46</v>
      </c>
      <c r="F235" s="10">
        <v>45915</v>
      </c>
      <c r="G235" s="10">
        <v>45921</v>
      </c>
      <c r="H235" s="25"/>
      <c r="I235" s="39"/>
      <c r="J235" s="40"/>
      <c r="K235" s="41"/>
      <c r="L235" s="22"/>
      <c r="M235" s="22"/>
      <c r="T235" s="81" t="str">
        <f t="shared" ca="1" si="110"/>
        <v>Bad</v>
      </c>
      <c r="U235" s="75">
        <f t="shared" ca="1" si="111"/>
        <v>214</v>
      </c>
      <c r="V235" s="75">
        <f>27</f>
        <v>27</v>
      </c>
      <c r="W235" s="82"/>
      <c r="X235" s="82"/>
      <c r="Y235" s="28"/>
      <c r="Z235" s="28"/>
      <c r="AA235" s="28"/>
      <c r="AD235" s="21" t="s">
        <v>35</v>
      </c>
      <c r="AE235" s="19" t="s">
        <v>36</v>
      </c>
    </row>
    <row r="236" spans="1:31" ht="14.4" x14ac:dyDescent="0.3">
      <c r="A236" s="21">
        <v>4859</v>
      </c>
      <c r="B236" s="84" t="s">
        <v>298</v>
      </c>
      <c r="C236" s="8">
        <v>540</v>
      </c>
      <c r="D236" s="92" t="s">
        <v>76</v>
      </c>
      <c r="E236" s="21" t="s">
        <v>33</v>
      </c>
      <c r="F236" s="66">
        <v>45932</v>
      </c>
      <c r="G236" s="66">
        <v>45932</v>
      </c>
      <c r="H236" s="22">
        <v>23</v>
      </c>
      <c r="I236" s="23">
        <v>23</v>
      </c>
      <c r="J236" s="24"/>
      <c r="K236" s="14">
        <v>45936</v>
      </c>
      <c r="L236" s="22"/>
      <c r="M236" s="22"/>
      <c r="T236" s="82" t="str">
        <f t="shared" ca="1" si="110"/>
        <v/>
      </c>
      <c r="U236" s="82" t="str">
        <f t="shared" ca="1" si="111"/>
        <v/>
      </c>
      <c r="V236" s="75">
        <f>1</f>
        <v>1</v>
      </c>
      <c r="W236" s="83" t="s">
        <v>299</v>
      </c>
      <c r="X236" s="83" t="s">
        <v>164</v>
      </c>
      <c r="Y236" s="28"/>
      <c r="Z236" s="28"/>
      <c r="AA236" s="28"/>
      <c r="AD236" s="21" t="s">
        <v>35</v>
      </c>
      <c r="AE236" s="19" t="s">
        <v>36</v>
      </c>
    </row>
    <row r="237" spans="1:31" ht="14.4" x14ac:dyDescent="0.3">
      <c r="A237" s="21">
        <v>4873</v>
      </c>
      <c r="B237" s="84" t="s">
        <v>300</v>
      </c>
      <c r="C237" s="8">
        <v>540</v>
      </c>
      <c r="D237" s="92" t="s">
        <v>76</v>
      </c>
      <c r="E237" s="21" t="s">
        <v>46</v>
      </c>
      <c r="F237" s="66">
        <v>45944</v>
      </c>
      <c r="G237" s="66">
        <v>45944</v>
      </c>
      <c r="H237" s="25"/>
      <c r="I237" s="39"/>
      <c r="J237" s="40"/>
      <c r="K237" s="41"/>
      <c r="L237" s="25"/>
      <c r="M237" s="25"/>
      <c r="T237" s="81" t="str">
        <f t="shared" ca="1" si="110"/>
        <v>Bad</v>
      </c>
      <c r="U237" s="75">
        <f t="shared" ca="1" si="111"/>
        <v>191</v>
      </c>
      <c r="V237" s="75">
        <f>5</f>
        <v>5</v>
      </c>
      <c r="W237" s="82"/>
      <c r="X237" s="82"/>
      <c r="Y237" s="28"/>
      <c r="Z237" s="28"/>
      <c r="AA237" s="28"/>
      <c r="AD237" s="21" t="s">
        <v>35</v>
      </c>
      <c r="AE237" s="19" t="s">
        <v>36</v>
      </c>
    </row>
    <row r="238" spans="1:31" ht="14.4" x14ac:dyDescent="0.3">
      <c r="A238" s="21">
        <v>4955</v>
      </c>
      <c r="B238" s="84" t="s">
        <v>37</v>
      </c>
      <c r="C238" s="8">
        <v>540</v>
      </c>
      <c r="D238" s="92" t="s">
        <v>38</v>
      </c>
      <c r="E238" s="6" t="s">
        <v>33</v>
      </c>
      <c r="F238" s="38">
        <v>46002</v>
      </c>
      <c r="G238" s="38">
        <v>46003</v>
      </c>
      <c r="H238" s="22">
        <v>45</v>
      </c>
      <c r="I238" s="23">
        <v>140</v>
      </c>
      <c r="J238" s="24"/>
      <c r="K238" s="14">
        <v>46006</v>
      </c>
      <c r="L238" s="22"/>
      <c r="M238" s="22"/>
      <c r="T238" s="82" t="str">
        <f t="shared" ca="1" si="110"/>
        <v/>
      </c>
      <c r="U238" s="82" t="str">
        <f t="shared" ca="1" si="111"/>
        <v/>
      </c>
      <c r="V238" s="82"/>
      <c r="W238" s="83" t="s">
        <v>187</v>
      </c>
      <c r="X238" s="83" t="s">
        <v>87</v>
      </c>
      <c r="Y238" s="28"/>
      <c r="Z238" s="28"/>
      <c r="AA238" s="28"/>
      <c r="AD238" s="21" t="s">
        <v>35</v>
      </c>
      <c r="AE238" s="19" t="s">
        <v>36</v>
      </c>
    </row>
    <row r="239" spans="1:31" ht="14.4" x14ac:dyDescent="0.3">
      <c r="A239" s="8">
        <v>5001</v>
      </c>
      <c r="B239" s="94" t="s">
        <v>225</v>
      </c>
      <c r="C239" s="8">
        <v>545</v>
      </c>
      <c r="D239" s="95" t="s">
        <v>76</v>
      </c>
      <c r="E239" s="8" t="s">
        <v>33</v>
      </c>
      <c r="F239" s="45">
        <v>46031</v>
      </c>
      <c r="G239" s="45">
        <v>46031</v>
      </c>
      <c r="H239" s="46">
        <v>27</v>
      </c>
      <c r="I239" s="47">
        <v>27</v>
      </c>
      <c r="J239" s="8"/>
      <c r="K239" s="48">
        <v>46031</v>
      </c>
      <c r="L239" s="46"/>
      <c r="M239" s="46"/>
      <c r="N239" s="91">
        <v>46031</v>
      </c>
      <c r="O239" s="87"/>
      <c r="P239" s="87"/>
      <c r="Q239" s="88"/>
      <c r="R239" s="88" t="str">
        <f>IF(Q239,Q239-K239,"")</f>
        <v/>
      </c>
      <c r="S239" s="88" t="str">
        <f>IF(R239="","",IF(R239&lt;=4,"Excellent",IF(R239&lt;=8,"Good",IF(R239&lt;=15,"Average",IF(R239&lt;=30,"Poor",IF(R239&gt;=30,"Bad"))))))</f>
        <v/>
      </c>
      <c r="T239" s="72" t="str">
        <f ca="1">IF(U239="","",IF(U239&lt;=3,"Excellent",IF(U239&lt;=7,"Good",IF(U239&lt;=14,"Average",IF(U239&lt;=30,"Poor",IF(U239&gt;=30,"Bad"))))))</f>
        <v/>
      </c>
      <c r="U239" s="73" t="str">
        <f ca="1">IF(E239="Document", IF(#REF!="", "", TODAY() -#REF!), "")</f>
        <v/>
      </c>
      <c r="V239" s="73"/>
      <c r="W239" s="74" t="s">
        <v>109</v>
      </c>
      <c r="X239" s="74" t="s">
        <v>301</v>
      </c>
      <c r="Y239" s="89"/>
      <c r="Z239" s="89"/>
      <c r="AD239" s="8" t="s">
        <v>35</v>
      </c>
      <c r="AE239" s="19" t="s">
        <v>36</v>
      </c>
    </row>
    <row r="240" spans="1:31" ht="14.4" x14ac:dyDescent="0.3">
      <c r="A240" s="6">
        <v>4524</v>
      </c>
      <c r="B240" s="76" t="s">
        <v>47</v>
      </c>
      <c r="C240" s="8">
        <v>545</v>
      </c>
      <c r="D240" s="92" t="s">
        <v>32</v>
      </c>
      <c r="E240" s="6" t="s">
        <v>33</v>
      </c>
      <c r="F240" s="10">
        <v>45698</v>
      </c>
      <c r="G240" s="10">
        <v>45704</v>
      </c>
      <c r="H240" s="11">
        <v>250</v>
      </c>
      <c r="I240" s="12">
        <v>270</v>
      </c>
      <c r="J240" s="13"/>
      <c r="K240" s="36">
        <v>45705</v>
      </c>
      <c r="L240" s="11"/>
      <c r="M240" s="11"/>
      <c r="T240" s="78" t="str">
        <f t="shared" ref="T240:T242" ca="1" si="112">IF($U240="","",IF($U240&lt;=3,"Excellent",IF($U240&lt;=7,"Good",IF($U240&lt;=14,"Average",IF($U240&lt;=30,"Poor",IF($U240&gt;=30,"Bad"))))))</f>
        <v/>
      </c>
      <c r="U240" s="78" t="str">
        <f t="shared" ref="U240:U242" ca="1" si="113">IF(E240="Document", IF(G240="", "", TODAY() - G240), "")</f>
        <v/>
      </c>
      <c r="V240" s="78"/>
      <c r="W240" s="78"/>
      <c r="X240" s="74" t="s">
        <v>34</v>
      </c>
      <c r="Y240" s="18"/>
      <c r="Z240" s="18"/>
      <c r="AA240" s="18"/>
      <c r="AD240" s="6" t="s">
        <v>35</v>
      </c>
      <c r="AE240" s="19" t="s">
        <v>36</v>
      </c>
    </row>
    <row r="241" spans="1:31" ht="14.4" x14ac:dyDescent="0.3">
      <c r="A241" s="21">
        <v>4945</v>
      </c>
      <c r="B241" s="84" t="s">
        <v>47</v>
      </c>
      <c r="C241" s="8">
        <v>545</v>
      </c>
      <c r="D241" s="92" t="s">
        <v>32</v>
      </c>
      <c r="E241" s="21" t="s">
        <v>77</v>
      </c>
      <c r="F241" s="38">
        <v>46006</v>
      </c>
      <c r="G241" s="38">
        <v>46012</v>
      </c>
      <c r="H241" s="25"/>
      <c r="I241" s="39"/>
      <c r="J241" s="40"/>
      <c r="K241" s="96">
        <v>46013</v>
      </c>
      <c r="L241" s="22"/>
      <c r="M241" s="22"/>
      <c r="T241" s="82" t="str">
        <f t="shared" ca="1" si="112"/>
        <v/>
      </c>
      <c r="U241" s="82" t="str">
        <f t="shared" ca="1" si="113"/>
        <v/>
      </c>
      <c r="V241" s="82"/>
      <c r="W241" s="83" t="s">
        <v>83</v>
      </c>
      <c r="X241" s="82"/>
      <c r="Y241" s="28"/>
      <c r="Z241" s="28"/>
      <c r="AA241" s="28"/>
      <c r="AD241" s="21" t="s">
        <v>35</v>
      </c>
      <c r="AE241" s="19" t="s">
        <v>36</v>
      </c>
    </row>
    <row r="242" spans="1:31" ht="14.4" x14ac:dyDescent="0.3">
      <c r="A242" s="21">
        <v>4917</v>
      </c>
      <c r="B242" s="37" t="s">
        <v>47</v>
      </c>
      <c r="C242" s="8">
        <v>546</v>
      </c>
      <c r="D242" s="92" t="s">
        <v>32</v>
      </c>
      <c r="E242" s="21" t="s">
        <v>46</v>
      </c>
      <c r="F242" s="38">
        <v>45985</v>
      </c>
      <c r="G242" s="38">
        <v>45998</v>
      </c>
      <c r="H242" s="25"/>
      <c r="I242" s="39"/>
      <c r="J242" s="40"/>
      <c r="K242" s="41"/>
      <c r="L242" s="25"/>
      <c r="M242" s="25"/>
      <c r="T242" s="81" t="str">
        <f t="shared" ca="1" si="112"/>
        <v>Bad</v>
      </c>
      <c r="U242" s="75">
        <f t="shared" ca="1" si="113"/>
        <v>137</v>
      </c>
      <c r="V242" s="82"/>
      <c r="W242" s="82"/>
      <c r="X242" s="82"/>
      <c r="Y242" s="28"/>
      <c r="Z242" s="28"/>
      <c r="AA242" s="28"/>
      <c r="AD242" s="21" t="s">
        <v>35</v>
      </c>
      <c r="AE242" s="19" t="s">
        <v>36</v>
      </c>
    </row>
    <row r="243" spans="1:31" ht="14.4" x14ac:dyDescent="0.3">
      <c r="A243" s="21">
        <v>5016</v>
      </c>
      <c r="B243" s="26" t="s">
        <v>111</v>
      </c>
      <c r="C243" s="8">
        <v>597</v>
      </c>
      <c r="D243" s="92" t="s">
        <v>76</v>
      </c>
      <c r="E243" s="6" t="s">
        <v>33</v>
      </c>
      <c r="F243" s="27">
        <v>46037</v>
      </c>
      <c r="G243" s="27">
        <v>46037</v>
      </c>
      <c r="H243" s="29">
        <v>27</v>
      </c>
      <c r="I243" s="30">
        <v>27</v>
      </c>
      <c r="J243" s="21"/>
      <c r="K243" s="31">
        <v>46042</v>
      </c>
      <c r="L243" s="29"/>
      <c r="M243" s="29"/>
      <c r="N243" s="69">
        <v>46042</v>
      </c>
      <c r="O243" s="70"/>
      <c r="P243" s="70"/>
      <c r="Q243" s="71"/>
      <c r="R243" s="71" t="str">
        <f>IF(Q243,Q243-K243,"")</f>
        <v/>
      </c>
      <c r="S243" s="71" t="str">
        <f>IF(R243="","",IF(R243&lt;=4,"Excellent",IF(R243&lt;=8,"Good",IF(R243&lt;=15,"Average",IF(R243&lt;=30,"Poor",IF(R243&gt;=30,"Bad"))))))</f>
        <v/>
      </c>
      <c r="T243" s="68" t="str">
        <f ca="1">IF(U243="","",IF(U243&lt;=3,"Excellent",IF(U243&lt;=7,"Good",IF(U243&lt;=14,"Average",IF(U243&lt;=30,"Poor",IF(U243&gt;=30,"Bad"))))))</f>
        <v/>
      </c>
      <c r="U243" s="68" t="str">
        <f ca="1">IF(E243="Document", IF(#REF!="", "", TODAY() -#REF!), "")</f>
        <v/>
      </c>
      <c r="V243" s="68"/>
      <c r="W243" s="78" t="s">
        <v>92</v>
      </c>
      <c r="X243" s="78" t="s">
        <v>93</v>
      </c>
      <c r="Y243" s="75"/>
      <c r="Z243" s="75"/>
      <c r="AD243" s="21" t="s">
        <v>35</v>
      </c>
      <c r="AE243" s="19" t="s">
        <v>36</v>
      </c>
    </row>
    <row r="244" spans="1:31" ht="14.4" x14ac:dyDescent="0.3">
      <c r="A244" s="21">
        <v>4783</v>
      </c>
      <c r="B244" s="55" t="s">
        <v>47</v>
      </c>
      <c r="C244" s="8">
        <v>597</v>
      </c>
      <c r="D244" s="92" t="s">
        <v>32</v>
      </c>
      <c r="E244" s="21" t="s">
        <v>33</v>
      </c>
      <c r="F244" s="10">
        <v>45880</v>
      </c>
      <c r="G244" s="10">
        <v>45885</v>
      </c>
      <c r="H244" s="22">
        <v>224</v>
      </c>
      <c r="I244" s="23">
        <v>224</v>
      </c>
      <c r="J244" s="24"/>
      <c r="K244" s="14">
        <v>45885</v>
      </c>
      <c r="L244" s="22"/>
      <c r="M244" s="22"/>
      <c r="T244" s="82" t="str">
        <f t="shared" ref="T244:T259" ca="1" si="114">IF($U244="","",IF($U244&lt;=3,"Excellent",IF($U244&lt;=7,"Good",IF($U244&lt;=14,"Average",IF($U244&lt;=30,"Poor",IF($U244&gt;=30,"Bad"))))))</f>
        <v/>
      </c>
      <c r="U244" s="82" t="str">
        <f t="shared" ref="U244:U259" ca="1" si="115">IF(E244="Document", IF(G244="", "", TODAY() - G244), "")</f>
        <v/>
      </c>
      <c r="V244" s="82"/>
      <c r="W244" s="83" t="s">
        <v>273</v>
      </c>
      <c r="X244" s="83" t="s">
        <v>123</v>
      </c>
      <c r="Y244" s="28"/>
      <c r="Z244" s="28"/>
      <c r="AA244" s="28"/>
      <c r="AD244" s="21" t="s">
        <v>35</v>
      </c>
      <c r="AE244" s="19" t="s">
        <v>36</v>
      </c>
    </row>
    <row r="245" spans="1:31" ht="14.4" x14ac:dyDescent="0.3">
      <c r="A245" s="6">
        <v>4456</v>
      </c>
      <c r="B245" s="7" t="s">
        <v>41</v>
      </c>
      <c r="C245" s="8">
        <v>615</v>
      </c>
      <c r="D245" s="92" t="s">
        <v>42</v>
      </c>
      <c r="E245" s="6" t="s">
        <v>33</v>
      </c>
      <c r="F245" s="10">
        <v>45705</v>
      </c>
      <c r="G245" s="10">
        <v>45720</v>
      </c>
      <c r="H245" s="11">
        <v>216</v>
      </c>
      <c r="I245" s="12">
        <v>362</v>
      </c>
      <c r="J245" s="13"/>
      <c r="K245" s="36">
        <v>45721</v>
      </c>
      <c r="L245" s="11"/>
      <c r="M245" s="11"/>
      <c r="T245" s="78" t="str">
        <f t="shared" ca="1" si="114"/>
        <v/>
      </c>
      <c r="U245" s="78" t="str">
        <f t="shared" ca="1" si="115"/>
        <v/>
      </c>
      <c r="V245" s="78"/>
      <c r="W245" s="78"/>
      <c r="X245" s="74" t="s">
        <v>34</v>
      </c>
      <c r="Y245" s="18"/>
      <c r="Z245" s="18"/>
      <c r="AA245" s="18"/>
      <c r="AD245" s="6" t="s">
        <v>35</v>
      </c>
      <c r="AE245" s="19" t="s">
        <v>36</v>
      </c>
    </row>
    <row r="246" spans="1:31" ht="14.4" x14ac:dyDescent="0.3">
      <c r="A246" s="6">
        <v>4456</v>
      </c>
      <c r="B246" s="7" t="s">
        <v>41</v>
      </c>
      <c r="C246" s="8">
        <v>615</v>
      </c>
      <c r="D246" s="92" t="s">
        <v>42</v>
      </c>
      <c r="E246" s="6" t="s">
        <v>33</v>
      </c>
      <c r="F246" s="10">
        <v>45705</v>
      </c>
      <c r="G246" s="10">
        <v>45720</v>
      </c>
      <c r="H246" s="11">
        <v>216</v>
      </c>
      <c r="I246" s="12">
        <v>362</v>
      </c>
      <c r="J246" s="13"/>
      <c r="K246" s="36">
        <v>45721</v>
      </c>
      <c r="L246" s="11"/>
      <c r="M246" s="11"/>
      <c r="T246" s="78" t="str">
        <f t="shared" ca="1" si="114"/>
        <v/>
      </c>
      <c r="U246" s="78" t="str">
        <f t="shared" ca="1" si="115"/>
        <v/>
      </c>
      <c r="V246" s="78"/>
      <c r="W246" s="78"/>
      <c r="X246" s="74" t="s">
        <v>34</v>
      </c>
      <c r="Y246" s="18"/>
      <c r="Z246" s="18"/>
      <c r="AA246" s="18"/>
      <c r="AD246" s="6" t="s">
        <v>35</v>
      </c>
      <c r="AE246" s="19" t="s">
        <v>36</v>
      </c>
    </row>
    <row r="247" spans="1:31" ht="14.4" x14ac:dyDescent="0.3">
      <c r="A247" s="6">
        <v>4456</v>
      </c>
      <c r="B247" s="7" t="s">
        <v>41</v>
      </c>
      <c r="C247" s="8">
        <v>615</v>
      </c>
      <c r="D247" s="92" t="s">
        <v>42</v>
      </c>
      <c r="E247" s="6" t="s">
        <v>33</v>
      </c>
      <c r="F247" s="10">
        <v>45705</v>
      </c>
      <c r="G247" s="10">
        <v>45720</v>
      </c>
      <c r="H247" s="11">
        <v>216</v>
      </c>
      <c r="I247" s="12">
        <v>362</v>
      </c>
      <c r="J247" s="13"/>
      <c r="K247" s="36">
        <v>45721</v>
      </c>
      <c r="L247" s="11"/>
      <c r="M247" s="11"/>
      <c r="T247" s="78" t="str">
        <f t="shared" ca="1" si="114"/>
        <v/>
      </c>
      <c r="U247" s="78" t="str">
        <f t="shared" ca="1" si="115"/>
        <v/>
      </c>
      <c r="V247" s="78"/>
      <c r="W247" s="78"/>
      <c r="X247" s="74" t="s">
        <v>34</v>
      </c>
      <c r="Y247" s="18"/>
      <c r="Z247" s="18"/>
      <c r="AA247" s="18"/>
      <c r="AD247" s="6" t="s">
        <v>35</v>
      </c>
      <c r="AE247" s="19" t="s">
        <v>36</v>
      </c>
    </row>
    <row r="248" spans="1:31" ht="14.4" x14ac:dyDescent="0.3">
      <c r="A248" s="21">
        <v>4681</v>
      </c>
      <c r="B248" s="7" t="s">
        <v>47</v>
      </c>
      <c r="C248" s="8">
        <v>618</v>
      </c>
      <c r="D248" s="92" t="s">
        <v>32</v>
      </c>
      <c r="E248" s="21" t="s">
        <v>33</v>
      </c>
      <c r="F248" s="10">
        <v>45873</v>
      </c>
      <c r="G248" s="10">
        <v>45884</v>
      </c>
      <c r="H248" s="22">
        <v>324</v>
      </c>
      <c r="I248" s="23">
        <v>334</v>
      </c>
      <c r="J248" s="24"/>
      <c r="K248" s="14">
        <v>45887</v>
      </c>
      <c r="L248" s="22"/>
      <c r="M248" s="22"/>
      <c r="T248" s="82" t="str">
        <f t="shared" ca="1" si="114"/>
        <v/>
      </c>
      <c r="U248" s="82" t="str">
        <f t="shared" ca="1" si="115"/>
        <v/>
      </c>
      <c r="V248" s="75">
        <f>64</f>
        <v>64</v>
      </c>
      <c r="W248" s="83" t="s">
        <v>50</v>
      </c>
      <c r="X248" s="83" t="s">
        <v>302</v>
      </c>
      <c r="Y248" s="28"/>
      <c r="Z248" s="28"/>
      <c r="AA248" s="28"/>
      <c r="AD248" s="21" t="s">
        <v>35</v>
      </c>
      <c r="AE248" s="19" t="s">
        <v>36</v>
      </c>
    </row>
    <row r="249" spans="1:31" ht="14.4" x14ac:dyDescent="0.3">
      <c r="A249" s="6">
        <v>4538</v>
      </c>
      <c r="B249" s="7" t="s">
        <v>303</v>
      </c>
      <c r="C249" s="8">
        <v>619</v>
      </c>
      <c r="D249" s="92" t="s">
        <v>38</v>
      </c>
      <c r="E249" s="6" t="s">
        <v>46</v>
      </c>
      <c r="F249" s="10">
        <v>45687</v>
      </c>
      <c r="G249" s="10">
        <v>45687</v>
      </c>
      <c r="H249" s="16"/>
      <c r="I249" s="53"/>
      <c r="J249" s="54"/>
      <c r="K249" s="41"/>
      <c r="L249" s="11"/>
      <c r="M249" s="11"/>
      <c r="T249" s="77" t="str">
        <f t="shared" ca="1" si="114"/>
        <v>Bad</v>
      </c>
      <c r="U249" s="73">
        <f t="shared" ca="1" si="115"/>
        <v>448</v>
      </c>
      <c r="V249" s="73">
        <f>109</f>
        <v>109</v>
      </c>
      <c r="W249" s="78"/>
      <c r="X249" s="78"/>
      <c r="Y249" s="18"/>
      <c r="Z249" s="18"/>
      <c r="AA249" s="18"/>
      <c r="AD249" s="6" t="s">
        <v>35</v>
      </c>
      <c r="AE249" s="19" t="s">
        <v>36</v>
      </c>
    </row>
    <row r="250" spans="1:31" ht="14.4" x14ac:dyDescent="0.3">
      <c r="A250" s="6">
        <v>4558</v>
      </c>
      <c r="B250" s="7" t="s">
        <v>304</v>
      </c>
      <c r="C250" s="8">
        <v>619</v>
      </c>
      <c r="D250" s="92" t="s">
        <v>57</v>
      </c>
      <c r="E250" s="6" t="s">
        <v>33</v>
      </c>
      <c r="F250" s="10">
        <v>45700</v>
      </c>
      <c r="G250" s="10">
        <v>45700</v>
      </c>
      <c r="H250" s="16"/>
      <c r="I250" s="53"/>
      <c r="J250" s="54"/>
      <c r="K250" s="36">
        <v>45701</v>
      </c>
      <c r="L250" s="11"/>
      <c r="M250" s="11"/>
      <c r="T250" s="78" t="str">
        <f t="shared" ca="1" si="114"/>
        <v/>
      </c>
      <c r="U250" s="78" t="str">
        <f t="shared" ca="1" si="115"/>
        <v/>
      </c>
      <c r="V250" s="78"/>
      <c r="W250" s="78"/>
      <c r="X250" s="74" t="s">
        <v>34</v>
      </c>
      <c r="Y250" s="18"/>
      <c r="Z250" s="18"/>
      <c r="AA250" s="18"/>
      <c r="AD250" s="6" t="s">
        <v>35</v>
      </c>
      <c r="AE250" s="19" t="s">
        <v>36</v>
      </c>
    </row>
    <row r="251" spans="1:31" ht="14.4" x14ac:dyDescent="0.3">
      <c r="A251" s="6">
        <v>3264</v>
      </c>
      <c r="B251" s="7" t="s">
        <v>305</v>
      </c>
      <c r="C251" s="8">
        <v>619</v>
      </c>
      <c r="D251" s="92" t="s">
        <v>38</v>
      </c>
      <c r="E251" s="6" t="s">
        <v>33</v>
      </c>
      <c r="F251" s="10">
        <v>45707</v>
      </c>
      <c r="G251" s="10">
        <v>45707</v>
      </c>
      <c r="H251" s="11">
        <v>40</v>
      </c>
      <c r="I251" s="12">
        <v>40</v>
      </c>
      <c r="J251" s="13"/>
      <c r="K251" s="36">
        <v>45708</v>
      </c>
      <c r="L251" s="11"/>
      <c r="M251" s="11"/>
      <c r="T251" s="78" t="str">
        <f t="shared" ca="1" si="114"/>
        <v/>
      </c>
      <c r="U251" s="78" t="str">
        <f t="shared" ca="1" si="115"/>
        <v/>
      </c>
      <c r="V251" s="78"/>
      <c r="W251" s="78"/>
      <c r="X251" s="74" t="s">
        <v>34</v>
      </c>
      <c r="Y251" s="18"/>
      <c r="Z251" s="18"/>
      <c r="AA251" s="18"/>
      <c r="AD251" s="6" t="s">
        <v>35</v>
      </c>
      <c r="AE251" s="19" t="s">
        <v>36</v>
      </c>
    </row>
    <row r="252" spans="1:31" ht="14.4" x14ac:dyDescent="0.3">
      <c r="A252" s="6">
        <v>4578</v>
      </c>
      <c r="B252" s="7" t="s">
        <v>306</v>
      </c>
      <c r="C252" s="8">
        <v>620</v>
      </c>
      <c r="D252" s="92" t="s">
        <v>38</v>
      </c>
      <c r="E252" s="6" t="s">
        <v>33</v>
      </c>
      <c r="F252" s="10">
        <v>45709</v>
      </c>
      <c r="G252" s="10">
        <v>45709</v>
      </c>
      <c r="H252" s="11">
        <v>45</v>
      </c>
      <c r="I252" s="12">
        <v>85</v>
      </c>
      <c r="J252" s="13"/>
      <c r="K252" s="36">
        <v>45712</v>
      </c>
      <c r="L252" s="11"/>
      <c r="M252" s="11"/>
      <c r="T252" s="78" t="str">
        <f t="shared" ca="1" si="114"/>
        <v/>
      </c>
      <c r="U252" s="78" t="str">
        <f t="shared" ca="1" si="115"/>
        <v/>
      </c>
      <c r="V252" s="78"/>
      <c r="W252" s="78"/>
      <c r="X252" s="74" t="s">
        <v>34</v>
      </c>
      <c r="Y252" s="18"/>
      <c r="Z252" s="18"/>
      <c r="AA252" s="18"/>
      <c r="AD252" s="6" t="s">
        <v>35</v>
      </c>
      <c r="AE252" s="19" t="s">
        <v>36</v>
      </c>
    </row>
    <row r="253" spans="1:31" ht="14.4" x14ac:dyDescent="0.3">
      <c r="A253" s="6">
        <v>4592</v>
      </c>
      <c r="B253" s="7" t="s">
        <v>307</v>
      </c>
      <c r="C253" s="8">
        <v>620</v>
      </c>
      <c r="D253" s="92" t="s">
        <v>32</v>
      </c>
      <c r="E253" s="6" t="s">
        <v>33</v>
      </c>
      <c r="F253" s="10">
        <v>45716</v>
      </c>
      <c r="G253" s="10">
        <v>45716</v>
      </c>
      <c r="H253" s="11">
        <v>36</v>
      </c>
      <c r="I253" s="12">
        <v>36</v>
      </c>
      <c r="J253" s="13"/>
      <c r="K253" s="36">
        <v>45719</v>
      </c>
      <c r="L253" s="11"/>
      <c r="M253" s="11"/>
      <c r="T253" s="78" t="str">
        <f t="shared" ca="1" si="114"/>
        <v/>
      </c>
      <c r="U253" s="78" t="str">
        <f t="shared" ca="1" si="115"/>
        <v/>
      </c>
      <c r="V253" s="78"/>
      <c r="W253" s="78"/>
      <c r="X253" s="74" t="s">
        <v>34</v>
      </c>
      <c r="Y253" s="18"/>
      <c r="Z253" s="18"/>
      <c r="AA253" s="18"/>
      <c r="AD253" s="6" t="s">
        <v>35</v>
      </c>
      <c r="AE253" s="19" t="s">
        <v>36</v>
      </c>
    </row>
    <row r="254" spans="1:31" ht="14.4" x14ac:dyDescent="0.3">
      <c r="A254" s="21">
        <v>4848</v>
      </c>
      <c r="B254" s="7" t="s">
        <v>308</v>
      </c>
      <c r="C254" s="8">
        <v>620</v>
      </c>
      <c r="D254" s="92" t="s">
        <v>38</v>
      </c>
      <c r="E254" s="21" t="s">
        <v>33</v>
      </c>
      <c r="F254" s="64">
        <v>45929</v>
      </c>
      <c r="G254" s="64">
        <v>45929</v>
      </c>
      <c r="H254" s="22">
        <v>15</v>
      </c>
      <c r="I254" s="23">
        <v>25</v>
      </c>
      <c r="J254" s="24"/>
      <c r="K254" s="14">
        <v>45930</v>
      </c>
      <c r="L254" s="22"/>
      <c r="M254" s="22"/>
      <c r="T254" s="82" t="str">
        <f t="shared" ca="1" si="114"/>
        <v/>
      </c>
      <c r="U254" s="82" t="str">
        <f t="shared" ca="1" si="115"/>
        <v/>
      </c>
      <c r="V254" s="75">
        <f>1</f>
        <v>1</v>
      </c>
      <c r="W254" s="83" t="s">
        <v>299</v>
      </c>
      <c r="X254" s="83" t="s">
        <v>309</v>
      </c>
      <c r="Y254" s="28"/>
      <c r="Z254" s="28"/>
      <c r="AA254" s="28"/>
      <c r="AD254" s="21" t="s">
        <v>35</v>
      </c>
      <c r="AE254" s="19" t="s">
        <v>36</v>
      </c>
    </row>
    <row r="255" spans="1:31" ht="14.4" x14ac:dyDescent="0.3">
      <c r="A255" s="21">
        <v>4884</v>
      </c>
      <c r="B255" s="37" t="s">
        <v>310</v>
      </c>
      <c r="C255" s="8">
        <v>620</v>
      </c>
      <c r="D255" s="92" t="s">
        <v>32</v>
      </c>
      <c r="E255" s="21" t="s">
        <v>33</v>
      </c>
      <c r="F255" s="42">
        <v>45958</v>
      </c>
      <c r="G255" s="42">
        <v>45958</v>
      </c>
      <c r="H255" s="22">
        <v>44</v>
      </c>
      <c r="I255" s="23">
        <v>44</v>
      </c>
      <c r="J255" s="24"/>
      <c r="K255" s="14">
        <v>45959</v>
      </c>
      <c r="L255" s="22"/>
      <c r="M255" s="22"/>
      <c r="T255" s="82" t="str">
        <f t="shared" ca="1" si="114"/>
        <v/>
      </c>
      <c r="U255" s="82" t="str">
        <f t="shared" ca="1" si="115"/>
        <v/>
      </c>
      <c r="V255" s="82"/>
      <c r="W255" s="83" t="s">
        <v>311</v>
      </c>
      <c r="X255" s="83" t="s">
        <v>278</v>
      </c>
      <c r="Y255" s="28"/>
      <c r="Z255" s="28"/>
      <c r="AA255" s="28"/>
      <c r="AD255" s="21" t="s">
        <v>35</v>
      </c>
      <c r="AE255" s="19" t="s">
        <v>36</v>
      </c>
    </row>
    <row r="256" spans="1:31" ht="14.4" x14ac:dyDescent="0.3">
      <c r="A256" s="21">
        <v>4921</v>
      </c>
      <c r="B256" s="37" t="s">
        <v>37</v>
      </c>
      <c r="C256" s="8">
        <v>620</v>
      </c>
      <c r="D256" s="92" t="s">
        <v>38</v>
      </c>
      <c r="E256" s="21" t="s">
        <v>46</v>
      </c>
      <c r="F256" s="42">
        <v>45987</v>
      </c>
      <c r="G256" s="42">
        <v>45987</v>
      </c>
      <c r="H256" s="25"/>
      <c r="I256" s="39"/>
      <c r="J256" s="40"/>
      <c r="K256" s="41"/>
      <c r="L256" s="25"/>
      <c r="M256" s="25"/>
      <c r="T256" s="81" t="str">
        <f t="shared" ca="1" si="114"/>
        <v>Bad</v>
      </c>
      <c r="U256" s="75">
        <f t="shared" ca="1" si="115"/>
        <v>148</v>
      </c>
      <c r="V256" s="82"/>
      <c r="W256" s="82"/>
      <c r="X256" s="82"/>
      <c r="Y256" s="28"/>
      <c r="Z256" s="28"/>
      <c r="AA256" s="28"/>
      <c r="AD256" s="21" t="s">
        <v>35</v>
      </c>
      <c r="AE256" s="19" t="s">
        <v>36</v>
      </c>
    </row>
    <row r="257" spans="1:31" ht="14.4" x14ac:dyDescent="0.3">
      <c r="A257" s="21">
        <v>4265</v>
      </c>
      <c r="B257" s="37" t="s">
        <v>37</v>
      </c>
      <c r="C257" s="8">
        <v>620</v>
      </c>
      <c r="D257" s="92" t="s">
        <v>38</v>
      </c>
      <c r="E257" s="21" t="s">
        <v>46</v>
      </c>
      <c r="F257" s="38">
        <v>46000</v>
      </c>
      <c r="G257" s="38">
        <v>46002</v>
      </c>
      <c r="H257" s="25"/>
      <c r="I257" s="39"/>
      <c r="J257" s="40"/>
      <c r="K257" s="41"/>
      <c r="L257" s="25"/>
      <c r="M257" s="25"/>
      <c r="T257" s="81" t="str">
        <f t="shared" ca="1" si="114"/>
        <v>Bad</v>
      </c>
      <c r="U257" s="75">
        <f t="shared" ca="1" si="115"/>
        <v>133</v>
      </c>
      <c r="V257" s="82"/>
      <c r="W257" s="82"/>
      <c r="X257" s="82"/>
      <c r="Y257" s="28"/>
      <c r="Z257" s="28"/>
      <c r="AA257" s="28"/>
      <c r="AD257" s="21" t="s">
        <v>35</v>
      </c>
      <c r="AE257" s="19" t="s">
        <v>36</v>
      </c>
    </row>
    <row r="258" spans="1:31" ht="14.4" x14ac:dyDescent="0.3">
      <c r="A258" s="21">
        <v>4815</v>
      </c>
      <c r="B258" s="55" t="s">
        <v>37</v>
      </c>
      <c r="C258" s="8">
        <v>627</v>
      </c>
      <c r="D258" s="92" t="s">
        <v>38</v>
      </c>
      <c r="E258" s="21" t="s">
        <v>33</v>
      </c>
      <c r="F258" s="10">
        <v>45915</v>
      </c>
      <c r="G258" s="10">
        <v>45920</v>
      </c>
      <c r="H258" s="22">
        <v>355</v>
      </c>
      <c r="I258" s="23">
        <v>365</v>
      </c>
      <c r="J258" s="24"/>
      <c r="K258" s="14">
        <v>45922</v>
      </c>
      <c r="L258" s="22"/>
      <c r="M258" s="22"/>
      <c r="T258" s="82" t="str">
        <f t="shared" ca="1" si="114"/>
        <v/>
      </c>
      <c r="U258" s="82" t="str">
        <f t="shared" ca="1" si="115"/>
        <v/>
      </c>
      <c r="V258" s="82"/>
      <c r="W258" s="83" t="s">
        <v>312</v>
      </c>
      <c r="X258" s="83" t="s">
        <v>309</v>
      </c>
      <c r="Y258" s="28"/>
      <c r="Z258" s="28"/>
      <c r="AA258" s="28"/>
      <c r="AD258" s="21" t="s">
        <v>35</v>
      </c>
      <c r="AE258" s="19" t="s">
        <v>36</v>
      </c>
    </row>
    <row r="259" spans="1:31" ht="14.4" x14ac:dyDescent="0.3">
      <c r="A259" s="21">
        <v>4913</v>
      </c>
      <c r="B259" s="37" t="s">
        <v>313</v>
      </c>
      <c r="C259" s="8">
        <v>631</v>
      </c>
      <c r="D259" s="92" t="s">
        <v>76</v>
      </c>
      <c r="E259" s="21" t="s">
        <v>33</v>
      </c>
      <c r="F259" s="42">
        <v>45979</v>
      </c>
      <c r="G259" s="42">
        <v>45981</v>
      </c>
      <c r="H259" s="22">
        <v>27</v>
      </c>
      <c r="I259" s="23">
        <v>27</v>
      </c>
      <c r="J259" s="24"/>
      <c r="K259" s="14">
        <v>45987</v>
      </c>
      <c r="L259" s="22"/>
      <c r="M259" s="22"/>
      <c r="T259" s="82" t="str">
        <f t="shared" ca="1" si="114"/>
        <v/>
      </c>
      <c r="U259" s="82" t="str">
        <f t="shared" ca="1" si="115"/>
        <v/>
      </c>
      <c r="V259" s="82"/>
      <c r="W259" s="83" t="s">
        <v>162</v>
      </c>
      <c r="X259" s="83" t="s">
        <v>221</v>
      </c>
      <c r="Y259" s="28"/>
      <c r="Z259" s="28"/>
      <c r="AA259" s="28"/>
      <c r="AD259" s="21" t="s">
        <v>35</v>
      </c>
      <c r="AE259" s="19" t="s">
        <v>36</v>
      </c>
    </row>
    <row r="260" spans="1:31" ht="14.4" x14ac:dyDescent="0.3">
      <c r="A260" s="21">
        <v>5069</v>
      </c>
      <c r="B260" s="26" t="s">
        <v>314</v>
      </c>
      <c r="C260" s="8">
        <v>633</v>
      </c>
      <c r="D260" s="92" t="s">
        <v>57</v>
      </c>
      <c r="E260" s="6" t="s">
        <v>33</v>
      </c>
      <c r="F260" s="27">
        <v>46073</v>
      </c>
      <c r="G260" s="27">
        <v>46073</v>
      </c>
      <c r="H260" s="29">
        <v>27</v>
      </c>
      <c r="I260" s="30">
        <v>27</v>
      </c>
      <c r="J260" s="21"/>
      <c r="K260" s="31">
        <v>46080</v>
      </c>
      <c r="L260" s="29"/>
      <c r="M260" s="29"/>
      <c r="N260" s="69">
        <v>46080</v>
      </c>
      <c r="O260" s="70"/>
      <c r="P260" s="70"/>
      <c r="Q260" s="71"/>
      <c r="R260" s="71" t="str">
        <f>IF(Q260,Q260-K260,"")</f>
        <v/>
      </c>
      <c r="S260" s="71" t="str">
        <f>IF(R260="","",IF(R260&lt;=4,"Excellent",IF(R260&lt;=8,"Good",IF(R260&lt;=15,"Average",IF(R260&lt;=30,"Poor",IF(R260&gt;=30,"Bad"))))))</f>
        <v/>
      </c>
      <c r="T260" s="68" t="str">
        <f ca="1">IF(U260="","",IF(U260&lt;=3,"Excellent",IF(U260&lt;=7,"Good",IF(U260&lt;=14,"Average",IF(U260&lt;=30,"Poor",IF(U260&gt;=30,"Bad"))))))</f>
        <v/>
      </c>
      <c r="U260" s="68" t="str">
        <f ca="1">IF(E260="Document", IF(#REF!="", "", TODAY() -#REF!), "")</f>
        <v/>
      </c>
      <c r="V260" s="68"/>
      <c r="W260" s="78" t="s">
        <v>54</v>
      </c>
      <c r="X260" s="78" t="s">
        <v>70</v>
      </c>
      <c r="Y260" s="75"/>
      <c r="Z260" s="75"/>
      <c r="AD260" s="21" t="s">
        <v>35</v>
      </c>
      <c r="AE260" s="19" t="s">
        <v>36</v>
      </c>
    </row>
    <row r="261" spans="1:31" ht="14.4" x14ac:dyDescent="0.3">
      <c r="A261" s="21">
        <v>4703</v>
      </c>
      <c r="B261" s="20" t="s">
        <v>315</v>
      </c>
      <c r="C261" s="8">
        <v>633</v>
      </c>
      <c r="D261" s="92" t="s">
        <v>32</v>
      </c>
      <c r="E261" s="21" t="s">
        <v>33</v>
      </c>
      <c r="F261" s="10">
        <v>45845</v>
      </c>
      <c r="G261" s="10">
        <v>45865</v>
      </c>
      <c r="H261" s="22">
        <v>262</v>
      </c>
      <c r="I261" s="23">
        <v>262</v>
      </c>
      <c r="J261" s="24"/>
      <c r="K261" s="14">
        <v>45867</v>
      </c>
      <c r="L261" s="22"/>
      <c r="M261" s="22"/>
      <c r="T261" s="82" t="str">
        <f t="shared" ref="T261:T262" ca="1" si="116">IF($U261="","",IF($U261&lt;=3,"Excellent",IF($U261&lt;=7,"Good",IF($U261&lt;=14,"Average",IF($U261&lt;=30,"Poor",IF($U261&gt;=30,"Bad"))))))</f>
        <v/>
      </c>
      <c r="U261" s="82" t="str">
        <f t="shared" ref="U261:U265" ca="1" si="117">IF(E261="Document", IF(G261="", "", TODAY() - G261), "")</f>
        <v/>
      </c>
      <c r="V261" s="75">
        <f>1</f>
        <v>1</v>
      </c>
      <c r="W261" s="83" t="s">
        <v>203</v>
      </c>
      <c r="X261" s="83" t="s">
        <v>160</v>
      </c>
      <c r="Y261" s="28"/>
      <c r="Z261" s="28"/>
      <c r="AA261" s="28"/>
      <c r="AD261" s="21" t="s">
        <v>35</v>
      </c>
      <c r="AE261" s="19" t="s">
        <v>36</v>
      </c>
    </row>
    <row r="262" spans="1:31" ht="14.4" x14ac:dyDescent="0.3">
      <c r="A262" s="6">
        <v>4615</v>
      </c>
      <c r="B262" s="7" t="s">
        <v>316</v>
      </c>
      <c r="C262" s="8">
        <v>636</v>
      </c>
      <c r="D262" s="92" t="s">
        <v>32</v>
      </c>
      <c r="E262" s="6" t="s">
        <v>46</v>
      </c>
      <c r="F262" s="10">
        <v>45740</v>
      </c>
      <c r="G262" s="10">
        <v>45740</v>
      </c>
      <c r="H262" s="16"/>
      <c r="I262" s="53"/>
      <c r="J262" s="54"/>
      <c r="K262" s="41"/>
      <c r="L262" s="11"/>
      <c r="M262" s="11"/>
      <c r="T262" s="77" t="str">
        <f t="shared" ca="1" si="116"/>
        <v>Bad</v>
      </c>
      <c r="U262" s="73">
        <f t="shared" ca="1" si="117"/>
        <v>395</v>
      </c>
      <c r="V262" s="73">
        <f>109</f>
        <v>109</v>
      </c>
      <c r="W262" s="78"/>
      <c r="X262" s="78"/>
      <c r="Y262" s="18"/>
      <c r="Z262" s="18"/>
      <c r="AA262" s="18"/>
      <c r="AD262" s="6" t="s">
        <v>35</v>
      </c>
      <c r="AE262" s="19" t="s">
        <v>36</v>
      </c>
    </row>
    <row r="263" spans="1:31" ht="14.4" x14ac:dyDescent="0.3">
      <c r="A263" s="6">
        <v>4557</v>
      </c>
      <c r="B263" s="7" t="s">
        <v>317</v>
      </c>
      <c r="C263" s="8">
        <v>636</v>
      </c>
      <c r="D263" s="92" t="s">
        <v>76</v>
      </c>
      <c r="E263" s="6" t="s">
        <v>33</v>
      </c>
      <c r="F263" s="10">
        <v>45783</v>
      </c>
      <c r="G263" s="10">
        <v>45785</v>
      </c>
      <c r="H263" s="11">
        <v>28</v>
      </c>
      <c r="I263" s="12">
        <v>28</v>
      </c>
      <c r="J263" s="13"/>
      <c r="K263" s="14">
        <v>45785</v>
      </c>
      <c r="L263" s="11"/>
      <c r="M263" s="11"/>
      <c r="T263" s="78"/>
      <c r="U263" s="78" t="str">
        <f t="shared" ca="1" si="117"/>
        <v/>
      </c>
      <c r="V263" s="78"/>
      <c r="W263" s="78"/>
      <c r="X263" s="74" t="s">
        <v>34</v>
      </c>
      <c r="Y263" s="18"/>
      <c r="Z263" s="18"/>
      <c r="AA263" s="18"/>
      <c r="AD263" s="6" t="s">
        <v>35</v>
      </c>
      <c r="AE263" s="19" t="s">
        <v>36</v>
      </c>
    </row>
    <row r="264" spans="1:31" ht="14.4" x14ac:dyDescent="0.3">
      <c r="A264" s="6">
        <v>4732</v>
      </c>
      <c r="B264" s="20" t="s">
        <v>318</v>
      </c>
      <c r="C264" s="8">
        <v>636</v>
      </c>
      <c r="D264" s="92" t="s">
        <v>76</v>
      </c>
      <c r="E264" s="6" t="s">
        <v>33</v>
      </c>
      <c r="F264" s="10">
        <v>45838</v>
      </c>
      <c r="G264" s="10">
        <v>45845</v>
      </c>
      <c r="H264" s="11">
        <v>27</v>
      </c>
      <c r="I264" s="12">
        <v>27</v>
      </c>
      <c r="J264" s="13"/>
      <c r="K264" s="14">
        <v>45849</v>
      </c>
      <c r="L264" s="11"/>
      <c r="M264" s="11"/>
      <c r="T264" s="78" t="str">
        <f t="shared" ref="T264:T265" ca="1" si="118">IF($U264="","",IF($U264&lt;=3,"Excellent",IF($U264&lt;=7,"Good",IF($U264&lt;=14,"Average",IF($U264&lt;=30,"Poor",IF($U264&gt;=30,"Bad"))))))</f>
        <v/>
      </c>
      <c r="U264" s="78" t="str">
        <f t="shared" ca="1" si="117"/>
        <v/>
      </c>
      <c r="V264" s="78"/>
      <c r="W264" s="74" t="s">
        <v>40</v>
      </c>
      <c r="X264" s="74" t="s">
        <v>159</v>
      </c>
      <c r="Y264" s="18"/>
      <c r="Z264" s="18"/>
      <c r="AA264" s="18"/>
      <c r="AD264" s="6" t="s">
        <v>35</v>
      </c>
      <c r="AE264" s="19" t="s">
        <v>36</v>
      </c>
    </row>
    <row r="265" spans="1:31" ht="14.4" x14ac:dyDescent="0.3">
      <c r="A265" s="21">
        <v>4916</v>
      </c>
      <c r="B265" s="37" t="s">
        <v>319</v>
      </c>
      <c r="C265" s="8">
        <v>636</v>
      </c>
      <c r="D265" s="92" t="s">
        <v>76</v>
      </c>
      <c r="E265" s="21" t="s">
        <v>33</v>
      </c>
      <c r="F265" s="38">
        <v>45985</v>
      </c>
      <c r="G265" s="38">
        <v>45989</v>
      </c>
      <c r="H265" s="22">
        <v>36</v>
      </c>
      <c r="I265" s="23">
        <v>36</v>
      </c>
      <c r="J265" s="24"/>
      <c r="K265" s="85">
        <v>45992</v>
      </c>
      <c r="L265" s="22"/>
      <c r="M265" s="22"/>
      <c r="T265" s="82" t="str">
        <f t="shared" ca="1" si="118"/>
        <v/>
      </c>
      <c r="U265" s="82" t="str">
        <f t="shared" ca="1" si="117"/>
        <v/>
      </c>
      <c r="V265" s="82"/>
      <c r="W265" s="83" t="s">
        <v>320</v>
      </c>
      <c r="X265" s="83" t="s">
        <v>321</v>
      </c>
      <c r="Y265" s="28"/>
      <c r="Z265" s="28"/>
      <c r="AA265" s="28"/>
      <c r="AD265" s="21" t="s">
        <v>35</v>
      </c>
      <c r="AE265" s="19" t="s">
        <v>36</v>
      </c>
    </row>
    <row r="266" spans="1:31" ht="14.4" x14ac:dyDescent="0.3">
      <c r="A266" s="21">
        <v>5093</v>
      </c>
      <c r="B266" s="26" t="s">
        <v>322</v>
      </c>
      <c r="C266" s="8">
        <v>639</v>
      </c>
      <c r="D266" s="92" t="s">
        <v>32</v>
      </c>
      <c r="E266" s="21" t="s">
        <v>33</v>
      </c>
      <c r="F266" s="27">
        <v>46084</v>
      </c>
      <c r="G266" s="27">
        <v>46087</v>
      </c>
      <c r="H266" s="29">
        <v>223</v>
      </c>
      <c r="I266" s="30">
        <v>223</v>
      </c>
      <c r="J266" s="21"/>
      <c r="K266" s="31">
        <v>46098</v>
      </c>
      <c r="L266" s="29"/>
      <c r="M266" s="29"/>
      <c r="N266" s="69">
        <v>46111</v>
      </c>
      <c r="O266" s="70"/>
      <c r="P266" s="70"/>
      <c r="Q266" s="71"/>
      <c r="R266" s="71" t="str">
        <f>IF(Q266,Q266-K266,"")</f>
        <v/>
      </c>
      <c r="S266" s="71" t="str">
        <f>IF(R266="","",IF(R266&lt;=4,"Excellent",IF(R266&lt;=8,"Good",IF(R266&lt;=15,"Average",IF(R266&lt;=30,"Poor",IF(R266&gt;=30,"Bad"))))))</f>
        <v/>
      </c>
      <c r="T266" s="68" t="str">
        <f ca="1">IF(U266="","",IF(U266&lt;=3,"Excellent",IF(U266&lt;=7,"Good",IF(U266&lt;=14,"Average",IF(U266&lt;=30,"Poor",IF(U266&gt;=30,"Bad"))))))</f>
        <v/>
      </c>
      <c r="U266" s="68" t="str">
        <f ca="1">IF(E266="Document", IF(#REF!="", "", TODAY() -#REF!), "")</f>
        <v/>
      </c>
      <c r="V266" s="68">
        <f>4</f>
        <v>4</v>
      </c>
      <c r="W266" s="78" t="s">
        <v>323</v>
      </c>
      <c r="X266" s="78" t="s">
        <v>141</v>
      </c>
      <c r="Y266" s="75"/>
      <c r="Z266" s="75"/>
      <c r="AD266" s="21" t="s">
        <v>35</v>
      </c>
      <c r="AE266" s="19" t="s">
        <v>36</v>
      </c>
    </row>
    <row r="267" spans="1:31" ht="14.4" x14ac:dyDescent="0.3">
      <c r="A267" s="21">
        <v>4937</v>
      </c>
      <c r="B267" s="37" t="s">
        <v>130</v>
      </c>
      <c r="C267" s="8">
        <v>640</v>
      </c>
      <c r="D267" s="92" t="s">
        <v>32</v>
      </c>
      <c r="E267" s="21" t="s">
        <v>33</v>
      </c>
      <c r="F267" s="38">
        <v>45999</v>
      </c>
      <c r="G267" s="38">
        <v>46005</v>
      </c>
      <c r="H267" s="22">
        <v>327</v>
      </c>
      <c r="I267" s="23">
        <v>342</v>
      </c>
      <c r="J267" s="24"/>
      <c r="K267" s="14">
        <v>46033</v>
      </c>
      <c r="L267" s="22"/>
      <c r="M267" s="22"/>
      <c r="T267" s="82" t="str">
        <f t="shared" ref="T267:T269" ca="1" si="119">IF($U267="","",IF($U267&lt;=3,"Excellent",IF($U267&lt;=7,"Good",IF($U267&lt;=14,"Average",IF($U267&lt;=30,"Poor",IF($U267&gt;=30,"Bad"))))))</f>
        <v/>
      </c>
      <c r="U267" s="82" t="str">
        <f t="shared" ref="U267:U270" ca="1" si="120">IF(E267="Document", IF(G267="", "", TODAY() - G267), "")</f>
        <v/>
      </c>
      <c r="V267" s="82"/>
      <c r="W267" s="83" t="s">
        <v>324</v>
      </c>
      <c r="X267" s="83" t="s">
        <v>87</v>
      </c>
      <c r="Y267" s="28"/>
      <c r="Z267" s="28"/>
      <c r="AA267" s="28"/>
      <c r="AD267" s="21" t="s">
        <v>35</v>
      </c>
      <c r="AE267" s="19" t="s">
        <v>36</v>
      </c>
    </row>
    <row r="268" spans="1:31" ht="14.4" x14ac:dyDescent="0.3">
      <c r="A268" s="21">
        <v>4734</v>
      </c>
      <c r="B268" s="7" t="s">
        <v>37</v>
      </c>
      <c r="C268" s="8">
        <v>646</v>
      </c>
      <c r="D268" s="92" t="s">
        <v>38</v>
      </c>
      <c r="E268" s="21" t="s">
        <v>33</v>
      </c>
      <c r="F268" s="10">
        <v>45852</v>
      </c>
      <c r="G268" s="10">
        <v>45858</v>
      </c>
      <c r="H268" s="22">
        <v>279</v>
      </c>
      <c r="I268" s="23">
        <v>279</v>
      </c>
      <c r="J268" s="24"/>
      <c r="K268" s="14">
        <v>45862</v>
      </c>
      <c r="L268" s="22"/>
      <c r="M268" s="22"/>
      <c r="T268" s="82" t="str">
        <f t="shared" ca="1" si="119"/>
        <v/>
      </c>
      <c r="U268" s="82" t="str">
        <f t="shared" ca="1" si="120"/>
        <v/>
      </c>
      <c r="V268" s="75">
        <f>14</f>
        <v>14</v>
      </c>
      <c r="W268" s="83" t="s">
        <v>287</v>
      </c>
      <c r="X268" s="83" t="s">
        <v>325</v>
      </c>
      <c r="Y268" s="28"/>
      <c r="Z268" s="28"/>
      <c r="AA268" s="28"/>
      <c r="AD268" s="21" t="s">
        <v>35</v>
      </c>
      <c r="AE268" s="19" t="s">
        <v>36</v>
      </c>
    </row>
    <row r="269" spans="1:31" ht="14.4" x14ac:dyDescent="0.3">
      <c r="A269" s="21">
        <v>4962</v>
      </c>
      <c r="B269" s="37" t="s">
        <v>37</v>
      </c>
      <c r="C269" s="8">
        <v>646</v>
      </c>
      <c r="D269" s="92" t="s">
        <v>38</v>
      </c>
      <c r="E269" s="21" t="s">
        <v>46</v>
      </c>
      <c r="F269" s="38">
        <v>46006</v>
      </c>
      <c r="G269" s="38">
        <v>46019</v>
      </c>
      <c r="H269" s="25"/>
      <c r="I269" s="39"/>
      <c r="J269" s="40"/>
      <c r="K269" s="41"/>
      <c r="L269" s="25"/>
      <c r="M269" s="25"/>
      <c r="T269" s="81" t="str">
        <f t="shared" ca="1" si="119"/>
        <v>Bad</v>
      </c>
      <c r="U269" s="75">
        <f t="shared" ca="1" si="120"/>
        <v>116</v>
      </c>
      <c r="V269" s="82"/>
      <c r="W269" s="82"/>
      <c r="X269" s="82"/>
      <c r="Y269" s="28"/>
      <c r="Z269" s="28"/>
      <c r="AA269" s="28"/>
      <c r="AD269" s="21" t="s">
        <v>35</v>
      </c>
      <c r="AE269" s="19" t="s">
        <v>36</v>
      </c>
    </row>
    <row r="270" spans="1:31" ht="14.4" x14ac:dyDescent="0.3">
      <c r="A270" s="21">
        <v>5080</v>
      </c>
      <c r="B270" s="26" t="s">
        <v>326</v>
      </c>
      <c r="C270" s="8">
        <v>647</v>
      </c>
      <c r="D270" s="92" t="s">
        <v>32</v>
      </c>
      <c r="E270" s="59" t="s">
        <v>46</v>
      </c>
      <c r="F270" s="27">
        <v>46076</v>
      </c>
      <c r="G270" s="27">
        <v>46089</v>
      </c>
      <c r="H270" s="29"/>
      <c r="I270" s="30"/>
      <c r="J270" s="21"/>
      <c r="K270" s="31"/>
      <c r="L270" s="29"/>
      <c r="M270" s="29"/>
      <c r="N270" s="69"/>
      <c r="O270" s="70"/>
      <c r="P270" s="70"/>
      <c r="Q270" s="71"/>
      <c r="R270" s="71" t="str">
        <f>IF(Q270,Q270-K270,"")</f>
        <v/>
      </c>
      <c r="S270" s="71" t="str">
        <f>IF(R270="","",IF(R270&lt;=4,"Excellent",IF(R270&lt;=8,"Good",IF(R270&lt;=15,"Average",IF(R270&lt;=30,"Poor",IF(R270&gt;=30,"Bad"))))))</f>
        <v/>
      </c>
      <c r="T270" s="68" t="str">
        <f t="shared" ref="T270:T271" ca="1" si="121">IF(U270="","",IF(U270&lt;=3,"Excellent",IF(U270&lt;=7,"Good",IF(U270&lt;=14,"Average",IF(U270&lt;=30,"Poor",IF(U270&gt;=30,"Bad"))))))</f>
        <v>Bad</v>
      </c>
      <c r="U270" s="21">
        <f t="shared" ca="1" si="120"/>
        <v>46</v>
      </c>
      <c r="V270" s="68">
        <f>40</f>
        <v>40</v>
      </c>
      <c r="W270" s="78"/>
      <c r="X270" s="78"/>
      <c r="Y270" s="75"/>
      <c r="Z270" s="75"/>
      <c r="AD270" s="21" t="s">
        <v>35</v>
      </c>
      <c r="AE270" s="19" t="s">
        <v>36</v>
      </c>
    </row>
    <row r="271" spans="1:31" ht="14.4" x14ac:dyDescent="0.3">
      <c r="A271" s="6">
        <v>4507</v>
      </c>
      <c r="B271" s="7" t="s">
        <v>47</v>
      </c>
      <c r="C271" s="8">
        <v>647</v>
      </c>
      <c r="D271" s="92" t="s">
        <v>32</v>
      </c>
      <c r="E271" s="6" t="s">
        <v>46</v>
      </c>
      <c r="F271" s="10">
        <v>45663</v>
      </c>
      <c r="G271" s="10">
        <v>45669</v>
      </c>
      <c r="H271" s="16"/>
      <c r="I271" s="53"/>
      <c r="J271" s="54"/>
      <c r="K271" s="41"/>
      <c r="L271" s="11"/>
      <c r="M271" s="11"/>
      <c r="T271" s="77" t="str">
        <f t="shared" ca="1" si="121"/>
        <v>Bad</v>
      </c>
      <c r="U271" s="73">
        <f t="shared" ref="U271:U275" ca="1" si="122">IF(E271="Document", IF(G271="", "", TODAY() - G271), "")</f>
        <v>466</v>
      </c>
      <c r="V271" s="73">
        <f t="shared" ref="V271:V273" si="123">109</f>
        <v>109</v>
      </c>
      <c r="W271" s="78"/>
      <c r="X271" s="78"/>
      <c r="Y271" s="18"/>
      <c r="Z271" s="18"/>
      <c r="AA271" s="18"/>
      <c r="AD271" s="6" t="s">
        <v>35</v>
      </c>
      <c r="AE271" s="19" t="s">
        <v>36</v>
      </c>
    </row>
    <row r="272" spans="1:31" ht="14.4" x14ac:dyDescent="0.3">
      <c r="A272" s="6">
        <v>4536</v>
      </c>
      <c r="B272" s="7" t="s">
        <v>156</v>
      </c>
      <c r="C272" s="8">
        <v>647</v>
      </c>
      <c r="D272" s="92" t="s">
        <v>32</v>
      </c>
      <c r="E272" s="6" t="s">
        <v>46</v>
      </c>
      <c r="F272" s="10">
        <v>45691</v>
      </c>
      <c r="G272" s="10">
        <v>45697</v>
      </c>
      <c r="H272" s="16"/>
      <c r="I272" s="53"/>
      <c r="J272" s="54"/>
      <c r="K272" s="41"/>
      <c r="L272" s="11"/>
      <c r="M272" s="11"/>
      <c r="T272" s="77" t="str">
        <f t="shared" ref="T272:T275" ca="1" si="124">IF($U272="","",IF($U272&lt;=3,"Excellent",IF($U272&lt;=7,"Good",IF($U272&lt;=14,"Average",IF($U272&lt;=30,"Poor",IF($U272&gt;=30,"Bad"))))))</f>
        <v>Bad</v>
      </c>
      <c r="U272" s="73">
        <f t="shared" ca="1" si="122"/>
        <v>438</v>
      </c>
      <c r="V272" s="73">
        <f t="shared" si="123"/>
        <v>109</v>
      </c>
      <c r="W272" s="78"/>
      <c r="X272" s="78"/>
      <c r="Y272" s="18"/>
      <c r="Z272" s="18"/>
      <c r="AA272" s="18"/>
      <c r="AD272" s="6" t="s">
        <v>35</v>
      </c>
      <c r="AE272" s="19" t="s">
        <v>36</v>
      </c>
    </row>
    <row r="273" spans="1:31" ht="14.4" x14ac:dyDescent="0.3">
      <c r="A273" s="6">
        <v>4603</v>
      </c>
      <c r="B273" s="7" t="s">
        <v>156</v>
      </c>
      <c r="C273" s="8">
        <v>647</v>
      </c>
      <c r="D273" s="92" t="s">
        <v>32</v>
      </c>
      <c r="E273" s="6" t="s">
        <v>46</v>
      </c>
      <c r="F273" s="10">
        <v>45726</v>
      </c>
      <c r="G273" s="10">
        <v>45732</v>
      </c>
      <c r="H273" s="16"/>
      <c r="I273" s="53"/>
      <c r="J273" s="54"/>
      <c r="K273" s="41"/>
      <c r="L273" s="11"/>
      <c r="M273" s="11"/>
      <c r="T273" s="77" t="str">
        <f t="shared" ca="1" si="124"/>
        <v>Bad</v>
      </c>
      <c r="U273" s="73">
        <f t="shared" ca="1" si="122"/>
        <v>403</v>
      </c>
      <c r="V273" s="73">
        <f t="shared" si="123"/>
        <v>109</v>
      </c>
      <c r="W273" s="78"/>
      <c r="X273" s="78"/>
      <c r="Y273" s="18"/>
      <c r="Z273" s="18"/>
      <c r="AA273" s="18"/>
      <c r="AD273" s="6" t="s">
        <v>35</v>
      </c>
      <c r="AE273" s="19" t="s">
        <v>36</v>
      </c>
    </row>
    <row r="274" spans="1:31" ht="14.4" x14ac:dyDescent="0.3">
      <c r="A274" s="21">
        <v>4770</v>
      </c>
      <c r="B274" s="7" t="s">
        <v>327</v>
      </c>
      <c r="C274" s="8">
        <v>647</v>
      </c>
      <c r="D274" s="92" t="s">
        <v>57</v>
      </c>
      <c r="E274" s="21" t="s">
        <v>33</v>
      </c>
      <c r="F274" s="10">
        <v>45862</v>
      </c>
      <c r="G274" s="10">
        <v>45862</v>
      </c>
      <c r="H274" s="22">
        <v>15</v>
      </c>
      <c r="I274" s="23">
        <v>25</v>
      </c>
      <c r="J274" s="24"/>
      <c r="K274" s="14">
        <v>45863</v>
      </c>
      <c r="L274" s="22"/>
      <c r="M274" s="22"/>
      <c r="T274" s="82" t="str">
        <f t="shared" ca="1" si="124"/>
        <v/>
      </c>
      <c r="U274" s="82" t="str">
        <f t="shared" ca="1" si="122"/>
        <v/>
      </c>
      <c r="V274" s="82"/>
      <c r="W274" s="83" t="s">
        <v>203</v>
      </c>
      <c r="X274" s="83" t="s">
        <v>160</v>
      </c>
      <c r="Y274" s="28"/>
      <c r="Z274" s="28"/>
      <c r="AA274" s="28"/>
      <c r="AD274" s="21" t="s">
        <v>35</v>
      </c>
      <c r="AE274" s="19" t="s">
        <v>36</v>
      </c>
    </row>
    <row r="275" spans="1:31" ht="14.4" x14ac:dyDescent="0.3">
      <c r="A275" s="21">
        <v>4773</v>
      </c>
      <c r="B275" s="55" t="s">
        <v>157</v>
      </c>
      <c r="C275" s="8">
        <v>647</v>
      </c>
      <c r="D275" s="92" t="s">
        <v>32</v>
      </c>
      <c r="E275" s="21" t="s">
        <v>46</v>
      </c>
      <c r="F275" s="10">
        <v>45873</v>
      </c>
      <c r="G275" s="10">
        <v>45886</v>
      </c>
      <c r="H275" s="25"/>
      <c r="I275" s="39"/>
      <c r="J275" s="40"/>
      <c r="K275" s="41"/>
      <c r="L275" s="22"/>
      <c r="M275" s="22"/>
      <c r="T275" s="81" t="str">
        <f t="shared" ca="1" si="124"/>
        <v>Bad</v>
      </c>
      <c r="U275" s="75">
        <f t="shared" ca="1" si="122"/>
        <v>249</v>
      </c>
      <c r="V275" s="75">
        <f>64</f>
        <v>64</v>
      </c>
      <c r="W275" s="82"/>
      <c r="X275" s="82"/>
      <c r="Y275" s="28"/>
      <c r="Z275" s="28"/>
      <c r="AA275" s="28"/>
      <c r="AD275" s="21" t="s">
        <v>35</v>
      </c>
      <c r="AE275" s="19" t="s">
        <v>36</v>
      </c>
    </row>
    <row r="276" spans="1:31" ht="14.4" x14ac:dyDescent="0.3">
      <c r="A276" s="21">
        <v>5026</v>
      </c>
      <c r="B276" s="26" t="s">
        <v>328</v>
      </c>
      <c r="C276" s="8">
        <v>650</v>
      </c>
      <c r="D276" s="92" t="s">
        <v>32</v>
      </c>
      <c r="E276" s="6" t="s">
        <v>33</v>
      </c>
      <c r="F276" s="27">
        <v>46044</v>
      </c>
      <c r="G276" s="27">
        <v>46044</v>
      </c>
      <c r="H276" s="29">
        <v>180</v>
      </c>
      <c r="I276" s="30">
        <v>220</v>
      </c>
      <c r="J276" s="21"/>
      <c r="K276" s="31">
        <v>46050</v>
      </c>
      <c r="L276" s="29"/>
      <c r="M276" s="29"/>
      <c r="N276" s="97">
        <v>46050</v>
      </c>
      <c r="O276" s="70"/>
      <c r="P276" s="70"/>
      <c r="Q276" s="71"/>
      <c r="R276" s="71" t="str">
        <f>IF(Q276,Q276-K276,"")</f>
        <v/>
      </c>
      <c r="S276" s="71" t="str">
        <f>IF(R276="","",IF(R276&lt;=4,"Excellent",IF(R276&lt;=8,"Good",IF(R276&lt;=15,"Average",IF(R276&lt;=30,"Poor",IF(R276&gt;=30,"Bad"))))))</f>
        <v/>
      </c>
      <c r="T276" s="68" t="str">
        <f ca="1">IF(U276="","",IF(U276&lt;=3,"Excellent",IF(U276&lt;=7,"Good",IF(U276&lt;=14,"Average",IF(U276&lt;=30,"Poor",IF(U276&gt;=30,"Bad"))))))</f>
        <v/>
      </c>
      <c r="U276" s="68" t="str">
        <f ca="1">IF(E276="Document", IF(#REF!="", "", TODAY() -#REF!), "")</f>
        <v/>
      </c>
      <c r="V276" s="68"/>
      <c r="W276" s="78" t="s">
        <v>61</v>
      </c>
      <c r="X276" s="78" t="s">
        <v>87</v>
      </c>
      <c r="Y276" s="75"/>
      <c r="Z276" s="75"/>
      <c r="AD276" s="21" t="s">
        <v>35</v>
      </c>
      <c r="AE276" s="19" t="s">
        <v>36</v>
      </c>
    </row>
    <row r="277" spans="1:31" ht="14.4" x14ac:dyDescent="0.3">
      <c r="A277" s="21">
        <v>4813</v>
      </c>
      <c r="B277" s="55" t="s">
        <v>329</v>
      </c>
      <c r="C277" s="8">
        <v>650</v>
      </c>
      <c r="D277" s="92" t="s">
        <v>32</v>
      </c>
      <c r="E277" s="21" t="s">
        <v>33</v>
      </c>
      <c r="F277" s="10">
        <v>45903</v>
      </c>
      <c r="G277" s="10">
        <v>45903</v>
      </c>
      <c r="H277" s="22">
        <v>234</v>
      </c>
      <c r="I277" s="23">
        <v>244</v>
      </c>
      <c r="J277" s="24"/>
      <c r="K277" s="14">
        <v>45904</v>
      </c>
      <c r="L277" s="22"/>
      <c r="M277" s="22"/>
      <c r="T277" s="82" t="str">
        <f t="shared" ref="T277:T278" ca="1" si="125">IF($U277="","",IF($U277&lt;=3,"Excellent",IF($U277&lt;=7,"Good",IF($U277&lt;=14,"Average",IF($U277&lt;=30,"Poor",IF($U277&gt;=30,"Bad"))))))</f>
        <v/>
      </c>
      <c r="U277" s="82" t="str">
        <f t="shared" ref="U277:U278" ca="1" si="126">IF(E277="Document", IF(G277="", "", TODAY() - G277), "")</f>
        <v/>
      </c>
      <c r="V277" s="82"/>
      <c r="W277" s="83" t="s">
        <v>330</v>
      </c>
      <c r="X277" s="83" t="s">
        <v>297</v>
      </c>
      <c r="Y277" s="28"/>
      <c r="Z277" s="28"/>
      <c r="AA277" s="28"/>
      <c r="AD277" s="21" t="s">
        <v>35</v>
      </c>
      <c r="AE277" s="19" t="s">
        <v>36</v>
      </c>
    </row>
    <row r="278" spans="1:31" ht="14.4" x14ac:dyDescent="0.3">
      <c r="A278" s="21">
        <v>4816</v>
      </c>
      <c r="B278" s="55" t="s">
        <v>37</v>
      </c>
      <c r="C278" s="8">
        <v>657</v>
      </c>
      <c r="D278" s="92" t="s">
        <v>38</v>
      </c>
      <c r="E278" s="21" t="s">
        <v>33</v>
      </c>
      <c r="F278" s="10">
        <v>45908</v>
      </c>
      <c r="G278" s="10">
        <v>45914</v>
      </c>
      <c r="H278" s="22">
        <v>370</v>
      </c>
      <c r="I278" s="23">
        <v>370</v>
      </c>
      <c r="J278" s="24"/>
      <c r="K278" s="14">
        <v>45916</v>
      </c>
      <c r="L278" s="22"/>
      <c r="M278" s="22"/>
      <c r="T278" s="82" t="str">
        <f t="shared" ca="1" si="125"/>
        <v/>
      </c>
      <c r="U278" s="82" t="str">
        <f t="shared" ca="1" si="126"/>
        <v/>
      </c>
      <c r="V278" s="75">
        <f>1</f>
        <v>1</v>
      </c>
      <c r="W278" s="83" t="s">
        <v>331</v>
      </c>
      <c r="X278" s="83" t="s">
        <v>264</v>
      </c>
      <c r="Y278" s="28"/>
      <c r="Z278" s="28"/>
      <c r="AA278" s="28"/>
      <c r="AD278" s="21" t="s">
        <v>35</v>
      </c>
      <c r="AE278" s="19" t="s">
        <v>36</v>
      </c>
    </row>
    <row r="279" spans="1:31" ht="14.4" x14ac:dyDescent="0.3">
      <c r="A279" s="21">
        <v>5014</v>
      </c>
      <c r="B279" s="26" t="s">
        <v>332</v>
      </c>
      <c r="C279" s="8">
        <v>662</v>
      </c>
      <c r="D279" s="92" t="s">
        <v>38</v>
      </c>
      <c r="E279" s="6" t="s">
        <v>33</v>
      </c>
      <c r="F279" s="27">
        <v>46062</v>
      </c>
      <c r="G279" s="27">
        <v>46068</v>
      </c>
      <c r="H279" s="29">
        <v>250</v>
      </c>
      <c r="I279" s="30">
        <v>340</v>
      </c>
      <c r="J279" s="21"/>
      <c r="K279" s="31">
        <v>46071</v>
      </c>
      <c r="L279" s="29"/>
      <c r="M279" s="29"/>
      <c r="N279" s="69">
        <v>46071</v>
      </c>
      <c r="O279" s="70"/>
      <c r="P279" s="70"/>
      <c r="Q279" s="71"/>
      <c r="R279" s="71" t="str">
        <f t="shared" ref="R279:R280" si="127">IF(Q279,Q279-K279,"")</f>
        <v/>
      </c>
      <c r="S279" s="71" t="str">
        <f t="shared" ref="S279:S280" si="128">IF(R279="","",IF(R279&lt;=4,"Excellent",IF(R279&lt;=8,"Good",IF(R279&lt;=15,"Average",IF(R279&lt;=30,"Poor",IF(R279&gt;=30,"Bad"))))))</f>
        <v/>
      </c>
      <c r="T279" s="68" t="str">
        <f t="shared" ref="T279:T280" ca="1" si="129">IF(U279="","",IF(U279&lt;=3,"Excellent",IF(U279&lt;=7,"Good",IF(U279&lt;=14,"Average",IF(U279&lt;=30,"Poor",IF(U279&gt;=30,"Bad"))))))</f>
        <v/>
      </c>
      <c r="U279" s="68" t="str">
        <f ca="1">IF(E279="Document", IF(#REF!="", "", TODAY() -#REF!), "")</f>
        <v/>
      </c>
      <c r="V279" s="68"/>
      <c r="W279" s="78" t="s">
        <v>301</v>
      </c>
      <c r="X279" s="78" t="s">
        <v>153</v>
      </c>
      <c r="Y279" s="75"/>
      <c r="Z279" s="75"/>
      <c r="AD279" s="21" t="s">
        <v>35</v>
      </c>
      <c r="AE279" s="19" t="s">
        <v>36</v>
      </c>
    </row>
    <row r="280" spans="1:31" ht="14.4" x14ac:dyDescent="0.3">
      <c r="A280" s="21">
        <v>5013</v>
      </c>
      <c r="B280" s="26" t="s">
        <v>332</v>
      </c>
      <c r="C280" s="8">
        <v>663</v>
      </c>
      <c r="D280" s="92" t="s">
        <v>38</v>
      </c>
      <c r="E280" s="6" t="s">
        <v>33</v>
      </c>
      <c r="F280" s="27">
        <v>46048</v>
      </c>
      <c r="G280" s="27">
        <v>46054</v>
      </c>
      <c r="H280" s="29">
        <v>176</v>
      </c>
      <c r="I280" s="30">
        <v>231</v>
      </c>
      <c r="J280" s="21"/>
      <c r="K280" s="31">
        <v>46056</v>
      </c>
      <c r="L280" s="29"/>
      <c r="M280" s="29"/>
      <c r="N280" s="69">
        <v>46056</v>
      </c>
      <c r="O280" s="70"/>
      <c r="P280" s="70"/>
      <c r="Q280" s="71"/>
      <c r="R280" s="71" t="str">
        <f t="shared" si="127"/>
        <v/>
      </c>
      <c r="S280" s="71" t="str">
        <f t="shared" si="128"/>
        <v/>
      </c>
      <c r="T280" s="68" t="str">
        <f t="shared" ca="1" si="129"/>
        <v/>
      </c>
      <c r="U280" s="68" t="str">
        <f ca="1">IF(E280="Document", IF(#REF!="", "", TODAY() -#REF!), "")</f>
        <v/>
      </c>
      <c r="V280" s="68"/>
      <c r="W280" s="78" t="s">
        <v>333</v>
      </c>
      <c r="X280" s="78" t="s">
        <v>334</v>
      </c>
      <c r="Y280" s="75"/>
      <c r="Z280" s="75"/>
      <c r="AD280" s="21" t="s">
        <v>35</v>
      </c>
      <c r="AE280" s="19" t="s">
        <v>36</v>
      </c>
    </row>
    <row r="281" spans="1:31" ht="14.4" x14ac:dyDescent="0.3">
      <c r="A281" s="21">
        <v>4723</v>
      </c>
      <c r="B281" s="7" t="s">
        <v>37</v>
      </c>
      <c r="C281" s="8">
        <v>663</v>
      </c>
      <c r="D281" s="92" t="s">
        <v>38</v>
      </c>
      <c r="E281" s="21" t="s">
        <v>33</v>
      </c>
      <c r="F281" s="10">
        <v>45852</v>
      </c>
      <c r="G281" s="10">
        <v>45858</v>
      </c>
      <c r="H281" s="22">
        <v>357</v>
      </c>
      <c r="I281" s="23">
        <v>357</v>
      </c>
      <c r="J281" s="24"/>
      <c r="K281" s="14">
        <v>45859</v>
      </c>
      <c r="L281" s="22"/>
      <c r="M281" s="22"/>
      <c r="T281" s="82" t="str">
        <f ca="1">IF($U281="","",IF($U281&lt;=3,"Excellent",IF($U281&lt;=7,"Good",IF($U281&lt;=14,"Average",IF($U281&lt;=30,"Poor",IF($U281&gt;=30,"Bad"))))))</f>
        <v/>
      </c>
      <c r="U281" s="82" t="str">
        <f ca="1">IF(E281="Document", IF(G281="", "", TODAY() - G281), "")</f>
        <v/>
      </c>
      <c r="V281" s="82"/>
      <c r="W281" s="83" t="s">
        <v>263</v>
      </c>
      <c r="X281" s="83" t="s">
        <v>160</v>
      </c>
      <c r="Y281" s="28"/>
      <c r="Z281" s="28"/>
      <c r="AA281" s="28"/>
      <c r="AD281" s="21" t="s">
        <v>35</v>
      </c>
      <c r="AE281" s="19" t="s">
        <v>36</v>
      </c>
    </row>
    <row r="282" spans="1:31" ht="14.4" x14ac:dyDescent="0.3">
      <c r="A282" s="21">
        <v>5119</v>
      </c>
      <c r="B282" s="26" t="s">
        <v>37</v>
      </c>
      <c r="C282" s="8">
        <v>667</v>
      </c>
      <c r="D282" s="92" t="s">
        <v>38</v>
      </c>
      <c r="E282" s="21" t="s">
        <v>46</v>
      </c>
      <c r="F282" s="27">
        <v>46125</v>
      </c>
      <c r="G282" s="27">
        <v>46130</v>
      </c>
      <c r="H282" s="29"/>
      <c r="I282" s="30"/>
      <c r="J282" s="21"/>
      <c r="K282" s="48"/>
      <c r="L282" s="29"/>
      <c r="M282" s="29"/>
      <c r="N282" s="69"/>
      <c r="O282" s="70"/>
      <c r="P282" s="70"/>
      <c r="Q282" s="71"/>
      <c r="R282" s="71" t="str">
        <f>IF(Q282,Q282-K282,"")</f>
        <v/>
      </c>
      <c r="S282" s="71" t="str">
        <f>IF(R282="","",IF(R282&lt;=4,"Excellent",IF(R282&lt;=8,"Good",IF(R282&lt;=15,"Average",IF(R282&lt;=30,"Poor",IF(R282&gt;=30,"Bad"))))))</f>
        <v/>
      </c>
      <c r="T282" s="72"/>
      <c r="U282" s="73"/>
      <c r="V282" s="73">
        <f>3</f>
        <v>3</v>
      </c>
      <c r="W282" s="74"/>
      <c r="X282" s="74"/>
      <c r="Y282" s="75"/>
      <c r="Z282" s="75"/>
      <c r="AD282" s="21" t="s">
        <v>35</v>
      </c>
      <c r="AE282" s="19" t="s">
        <v>36</v>
      </c>
    </row>
    <row r="283" spans="1:31" ht="14.4" x14ac:dyDescent="0.3">
      <c r="A283" s="6">
        <v>4648</v>
      </c>
      <c r="B283" s="7" t="s">
        <v>84</v>
      </c>
      <c r="C283" s="8">
        <v>667</v>
      </c>
      <c r="D283" s="92" t="s">
        <v>38</v>
      </c>
      <c r="E283" s="6" t="s">
        <v>33</v>
      </c>
      <c r="F283" s="10">
        <v>45782</v>
      </c>
      <c r="G283" s="10">
        <v>45788</v>
      </c>
      <c r="H283" s="11">
        <v>293</v>
      </c>
      <c r="I283" s="12">
        <v>293</v>
      </c>
      <c r="J283" s="13"/>
      <c r="K283" s="14">
        <v>45789</v>
      </c>
      <c r="L283" s="11"/>
      <c r="M283" s="11"/>
      <c r="T283" s="78" t="str">
        <f t="shared" ref="T283:T284" ca="1" si="130">IF($U283="","",IF($U283&lt;=3,"Excellent",IF($U283&lt;=7,"Good",IF($U283&lt;=14,"Average",IF($U283&lt;=30,"Poor",IF($U283&gt;=30,"Bad"))))))</f>
        <v/>
      </c>
      <c r="U283" s="78" t="str">
        <f t="shared" ref="U283:U292" ca="1" si="131">IF(E283="Document", IF(G283="", "", TODAY() - G283), "")</f>
        <v/>
      </c>
      <c r="V283" s="78"/>
      <c r="W283" s="78"/>
      <c r="X283" s="74" t="s">
        <v>34</v>
      </c>
      <c r="Y283" s="18"/>
      <c r="Z283" s="18"/>
      <c r="AA283" s="18"/>
      <c r="AD283" s="6" t="s">
        <v>35</v>
      </c>
      <c r="AE283" s="19" t="s">
        <v>36</v>
      </c>
    </row>
    <row r="284" spans="1:31" ht="14.4" x14ac:dyDescent="0.3">
      <c r="A284" s="6">
        <v>4688</v>
      </c>
      <c r="B284" s="7" t="s">
        <v>335</v>
      </c>
      <c r="C284" s="8">
        <v>668</v>
      </c>
      <c r="D284" s="92" t="s">
        <v>57</v>
      </c>
      <c r="E284" s="6" t="s">
        <v>33</v>
      </c>
      <c r="F284" s="10">
        <v>45758</v>
      </c>
      <c r="G284" s="10">
        <v>45758</v>
      </c>
      <c r="H284" s="11">
        <v>10</v>
      </c>
      <c r="I284" s="12">
        <v>20</v>
      </c>
      <c r="J284" s="13"/>
      <c r="K284" s="90">
        <v>45758</v>
      </c>
      <c r="L284" s="11"/>
      <c r="M284" s="11"/>
      <c r="T284" s="78" t="str">
        <f t="shared" ca="1" si="130"/>
        <v/>
      </c>
      <c r="U284" s="78" t="str">
        <f t="shared" ca="1" si="131"/>
        <v/>
      </c>
      <c r="V284" s="78"/>
      <c r="W284" s="74" t="s">
        <v>106</v>
      </c>
      <c r="X284" s="74" t="s">
        <v>159</v>
      </c>
      <c r="Y284" s="18"/>
      <c r="Z284" s="18"/>
      <c r="AA284" s="18"/>
      <c r="AD284" s="6" t="s">
        <v>35</v>
      </c>
      <c r="AE284" s="19" t="s">
        <v>36</v>
      </c>
    </row>
    <row r="285" spans="1:31" ht="14.4" x14ac:dyDescent="0.3">
      <c r="A285" s="6">
        <v>4517</v>
      </c>
      <c r="B285" s="7" t="s">
        <v>336</v>
      </c>
      <c r="C285" s="8">
        <v>670</v>
      </c>
      <c r="D285" s="92" t="s">
        <v>202</v>
      </c>
      <c r="E285" s="6" t="s">
        <v>33</v>
      </c>
      <c r="F285" s="10">
        <v>45666</v>
      </c>
      <c r="G285" s="10">
        <v>45681</v>
      </c>
      <c r="H285" s="11">
        <v>904</v>
      </c>
      <c r="I285" s="12">
        <v>982</v>
      </c>
      <c r="J285" s="13"/>
      <c r="K285" s="36">
        <v>45706</v>
      </c>
      <c r="L285" s="11"/>
      <c r="M285" s="11"/>
      <c r="T285" s="78" t="str">
        <f t="shared" ref="T285:T287" ca="1" si="132">IF(U285="","",IF(U285&lt;=3,"Excellent",IF(U285&lt;=7,"Good",IF(U285&lt;=14,"Average",IF(U285&lt;=30,"Poor",IF(U285&gt;=30,"Bad"))))))</f>
        <v/>
      </c>
      <c r="U285" s="78" t="str">
        <f t="shared" ca="1" si="131"/>
        <v/>
      </c>
      <c r="V285" s="78"/>
      <c r="W285" s="78"/>
      <c r="X285" s="74" t="s">
        <v>34</v>
      </c>
      <c r="Y285" s="18"/>
      <c r="Z285" s="18"/>
      <c r="AA285" s="18"/>
      <c r="AD285" s="6" t="s">
        <v>35</v>
      </c>
      <c r="AE285" s="19" t="s">
        <v>36</v>
      </c>
    </row>
    <row r="286" spans="1:31" ht="14.4" x14ac:dyDescent="0.3">
      <c r="A286" s="6">
        <v>4517</v>
      </c>
      <c r="B286" s="7" t="s">
        <v>336</v>
      </c>
      <c r="C286" s="8">
        <v>670</v>
      </c>
      <c r="D286" s="92" t="s">
        <v>202</v>
      </c>
      <c r="E286" s="6" t="s">
        <v>33</v>
      </c>
      <c r="F286" s="10">
        <v>45670</v>
      </c>
      <c r="G286" s="10">
        <v>45704</v>
      </c>
      <c r="H286" s="11">
        <v>904</v>
      </c>
      <c r="I286" s="12">
        <v>982</v>
      </c>
      <c r="J286" s="13"/>
      <c r="K286" s="36">
        <v>45706</v>
      </c>
      <c r="L286" s="11"/>
      <c r="M286" s="11"/>
      <c r="T286" s="78" t="str">
        <f t="shared" ca="1" si="132"/>
        <v/>
      </c>
      <c r="U286" s="78" t="str">
        <f t="shared" ca="1" si="131"/>
        <v/>
      </c>
      <c r="V286" s="78"/>
      <c r="W286" s="78"/>
      <c r="X286" s="74" t="s">
        <v>34</v>
      </c>
      <c r="Y286" s="18"/>
      <c r="Z286" s="18"/>
      <c r="AA286" s="18"/>
      <c r="AD286" s="6" t="s">
        <v>35</v>
      </c>
      <c r="AE286" s="19" t="s">
        <v>36</v>
      </c>
    </row>
    <row r="287" spans="1:31" ht="14.4" x14ac:dyDescent="0.3">
      <c r="A287" s="6">
        <v>4517</v>
      </c>
      <c r="B287" s="7" t="s">
        <v>336</v>
      </c>
      <c r="C287" s="8">
        <v>670</v>
      </c>
      <c r="D287" s="92" t="s">
        <v>202</v>
      </c>
      <c r="E287" s="6" t="s">
        <v>33</v>
      </c>
      <c r="F287" s="10">
        <v>45685</v>
      </c>
      <c r="G287" s="10">
        <v>45701</v>
      </c>
      <c r="H287" s="11">
        <v>904</v>
      </c>
      <c r="I287" s="12">
        <v>982</v>
      </c>
      <c r="J287" s="13"/>
      <c r="K287" s="36">
        <v>45706</v>
      </c>
      <c r="L287" s="11"/>
      <c r="M287" s="11"/>
      <c r="T287" s="78" t="str">
        <f t="shared" ca="1" si="132"/>
        <v/>
      </c>
      <c r="U287" s="78" t="str">
        <f t="shared" ca="1" si="131"/>
        <v/>
      </c>
      <c r="V287" s="78"/>
      <c r="W287" s="78"/>
      <c r="X287" s="74" t="s">
        <v>34</v>
      </c>
      <c r="Y287" s="18"/>
      <c r="Z287" s="18"/>
      <c r="AA287" s="18"/>
      <c r="AD287" s="6" t="s">
        <v>35</v>
      </c>
      <c r="AE287" s="19" t="s">
        <v>36</v>
      </c>
    </row>
    <row r="288" spans="1:31" ht="14.4" x14ac:dyDescent="0.3">
      <c r="A288" s="21">
        <v>4721</v>
      </c>
      <c r="B288" s="20" t="s">
        <v>37</v>
      </c>
      <c r="C288" s="8">
        <v>670</v>
      </c>
      <c r="D288" s="92" t="s">
        <v>38</v>
      </c>
      <c r="E288" s="21" t="s">
        <v>33</v>
      </c>
      <c r="F288" s="10">
        <v>45845</v>
      </c>
      <c r="G288" s="10">
        <v>45850</v>
      </c>
      <c r="H288" s="22">
        <v>288</v>
      </c>
      <c r="I288" s="23">
        <v>288</v>
      </c>
      <c r="J288" s="24"/>
      <c r="K288" s="14">
        <v>45863</v>
      </c>
      <c r="L288" s="22"/>
      <c r="M288" s="22"/>
      <c r="T288" s="82" t="str">
        <f t="shared" ref="T288:T291" ca="1" si="133">IF($U288="","",IF($U288&lt;=3,"Excellent",IF($U288&lt;=7,"Good",IF($U288&lt;=14,"Average",IF($U288&lt;=30,"Poor",IF($U288&gt;=30,"Bad"))))))</f>
        <v/>
      </c>
      <c r="U288" s="82" t="str">
        <f t="shared" ca="1" si="131"/>
        <v/>
      </c>
      <c r="V288" s="75">
        <f>25</f>
        <v>25</v>
      </c>
      <c r="W288" s="83" t="s">
        <v>337</v>
      </c>
      <c r="X288" s="83" t="s">
        <v>67</v>
      </c>
      <c r="Y288" s="28"/>
      <c r="Z288" s="28"/>
      <c r="AA288" s="28"/>
      <c r="AD288" s="21" t="s">
        <v>35</v>
      </c>
      <c r="AE288" s="19" t="s">
        <v>36</v>
      </c>
    </row>
    <row r="289" spans="1:31" ht="14.4" x14ac:dyDescent="0.3">
      <c r="A289" s="6">
        <v>4277</v>
      </c>
      <c r="B289" s="7" t="s">
        <v>338</v>
      </c>
      <c r="C289" s="8">
        <v>671</v>
      </c>
      <c r="D289" s="92" t="s">
        <v>32</v>
      </c>
      <c r="E289" s="6" t="s">
        <v>46</v>
      </c>
      <c r="F289" s="10">
        <v>45768</v>
      </c>
      <c r="G289" s="10">
        <v>45774</v>
      </c>
      <c r="H289" s="16"/>
      <c r="I289" s="53"/>
      <c r="J289" s="54"/>
      <c r="K289" s="41"/>
      <c r="L289" s="11"/>
      <c r="M289" s="11"/>
      <c r="T289" s="77" t="str">
        <f t="shared" ca="1" si="133"/>
        <v>Bad</v>
      </c>
      <c r="U289" s="73">
        <f t="shared" ca="1" si="131"/>
        <v>361</v>
      </c>
      <c r="V289" s="73">
        <f>109</f>
        <v>109</v>
      </c>
      <c r="W289" s="78"/>
      <c r="X289" s="78"/>
      <c r="Y289" s="18"/>
      <c r="Z289" s="18"/>
      <c r="AA289" s="18"/>
      <c r="AD289" s="6" t="s">
        <v>55</v>
      </c>
      <c r="AE289" s="19" t="s">
        <v>36</v>
      </c>
    </row>
    <row r="290" spans="1:31" ht="14.4" x14ac:dyDescent="0.3">
      <c r="A290" s="6">
        <v>4640</v>
      </c>
      <c r="B290" s="7" t="s">
        <v>73</v>
      </c>
      <c r="C290" s="8">
        <v>680</v>
      </c>
      <c r="D290" s="92" t="s">
        <v>32</v>
      </c>
      <c r="E290" s="6" t="s">
        <v>33</v>
      </c>
      <c r="F290" s="10">
        <v>45775</v>
      </c>
      <c r="G290" s="10">
        <v>45782</v>
      </c>
      <c r="H290" s="11">
        <v>258</v>
      </c>
      <c r="I290" s="12">
        <v>283</v>
      </c>
      <c r="J290" s="13"/>
      <c r="K290" s="14">
        <v>45783</v>
      </c>
      <c r="L290" s="11"/>
      <c r="M290" s="11"/>
      <c r="T290" s="78" t="str">
        <f t="shared" ca="1" si="133"/>
        <v/>
      </c>
      <c r="U290" s="78" t="str">
        <f t="shared" ca="1" si="131"/>
        <v/>
      </c>
      <c r="V290" s="78"/>
      <c r="W290" s="78"/>
      <c r="X290" s="74" t="s">
        <v>34</v>
      </c>
      <c r="Y290" s="18"/>
      <c r="Z290" s="18"/>
      <c r="AA290" s="18"/>
      <c r="AD290" s="6" t="s">
        <v>35</v>
      </c>
      <c r="AE290" s="19" t="s">
        <v>36</v>
      </c>
    </row>
    <row r="291" spans="1:31" ht="14.4" x14ac:dyDescent="0.3">
      <c r="A291" s="6">
        <v>4549</v>
      </c>
      <c r="B291" s="7" t="s">
        <v>47</v>
      </c>
      <c r="C291" s="8">
        <v>686</v>
      </c>
      <c r="D291" s="92" t="s">
        <v>32</v>
      </c>
      <c r="E291" s="6" t="s">
        <v>33</v>
      </c>
      <c r="F291" s="10">
        <v>45705</v>
      </c>
      <c r="G291" s="10">
        <v>45711</v>
      </c>
      <c r="H291" s="11">
        <v>278</v>
      </c>
      <c r="I291" s="12">
        <v>348</v>
      </c>
      <c r="J291" s="13"/>
      <c r="K291" s="36">
        <v>45712</v>
      </c>
      <c r="L291" s="11"/>
      <c r="M291" s="11"/>
      <c r="T291" s="78" t="str">
        <f t="shared" ca="1" si="133"/>
        <v/>
      </c>
      <c r="U291" s="78" t="str">
        <f t="shared" ca="1" si="131"/>
        <v/>
      </c>
      <c r="V291" s="78"/>
      <c r="W291" s="78"/>
      <c r="X291" s="74" t="s">
        <v>34</v>
      </c>
      <c r="Y291" s="18"/>
      <c r="Z291" s="18"/>
      <c r="AA291" s="18"/>
      <c r="AD291" s="6" t="s">
        <v>35</v>
      </c>
      <c r="AE291" s="19" t="s">
        <v>36</v>
      </c>
    </row>
    <row r="292" spans="1:31" ht="14.4" x14ac:dyDescent="0.3">
      <c r="A292" s="21">
        <v>5041</v>
      </c>
      <c r="B292" s="26" t="s">
        <v>339</v>
      </c>
      <c r="C292" s="8">
        <v>688</v>
      </c>
      <c r="D292" s="92" t="s">
        <v>32</v>
      </c>
      <c r="E292" s="21" t="s">
        <v>46</v>
      </c>
      <c r="F292" s="27">
        <v>46051</v>
      </c>
      <c r="G292" s="27">
        <v>46061</v>
      </c>
      <c r="H292" s="29"/>
      <c r="I292" s="30"/>
      <c r="J292" s="21"/>
      <c r="K292" s="31"/>
      <c r="L292" s="29"/>
      <c r="M292" s="29"/>
      <c r="N292" s="69"/>
      <c r="O292" s="70"/>
      <c r="P292" s="70"/>
      <c r="Q292" s="71"/>
      <c r="R292" s="71" t="str">
        <f>IF(Q292,Q292-K292,"")</f>
        <v/>
      </c>
      <c r="S292" s="71" t="str">
        <f>IF(R292="","",IF(R292&lt;=4,"Excellent",IF(R292&lt;=8,"Good",IF(R292&lt;=15,"Average",IF(R292&lt;=30,"Poor",IF(R292&gt;=30,"Bad"))))))</f>
        <v/>
      </c>
      <c r="T292" s="68" t="str">
        <f ca="1">IF(U292="","",IF(U292&lt;=3,"Excellent",IF(U292&lt;=7,"Good",IF(U292&lt;=14,"Average",IF(U292&lt;=30,"Poor",IF(U292&gt;=30,"Bad"))))))</f>
        <v>Bad</v>
      </c>
      <c r="U292" s="21">
        <f t="shared" ca="1" si="131"/>
        <v>74</v>
      </c>
      <c r="V292" s="68">
        <f>40</f>
        <v>40</v>
      </c>
      <c r="W292" s="78"/>
      <c r="X292" s="78"/>
      <c r="Y292" s="75"/>
      <c r="Z292" s="75"/>
      <c r="AD292" s="21" t="s">
        <v>35</v>
      </c>
      <c r="AE292" s="19" t="s">
        <v>36</v>
      </c>
    </row>
    <row r="293" spans="1:31" ht="14.4" x14ac:dyDescent="0.3">
      <c r="A293" s="21">
        <v>4902</v>
      </c>
      <c r="B293" s="37" t="s">
        <v>47</v>
      </c>
      <c r="C293" s="8">
        <v>688</v>
      </c>
      <c r="D293" s="92" t="s">
        <v>32</v>
      </c>
      <c r="E293" s="21" t="s">
        <v>62</v>
      </c>
      <c r="F293" s="42">
        <v>45978</v>
      </c>
      <c r="G293" s="42">
        <v>45984</v>
      </c>
      <c r="H293" s="25"/>
      <c r="I293" s="39"/>
      <c r="J293" s="40"/>
      <c r="K293" s="41"/>
      <c r="L293" s="25"/>
      <c r="M293" s="25"/>
      <c r="T293" s="82" t="str">
        <f ca="1">IF($U293="","",IF($U293&lt;=3,"Excellent",IF($U293&lt;=7,"Good",IF($U293&lt;=14,"Average",IF($U293&lt;=30,"Poor",IF($U293&gt;=30,"Bad"))))))</f>
        <v/>
      </c>
      <c r="U293" s="82" t="str">
        <f ca="1">IF(E293="Document", IF(G293="", "", TODAY() - G293), "")</f>
        <v/>
      </c>
      <c r="V293" s="82"/>
      <c r="W293" s="82"/>
      <c r="X293" s="82"/>
      <c r="Y293" s="28"/>
      <c r="Z293" s="28"/>
      <c r="AA293" s="28"/>
      <c r="AD293" s="21" t="s">
        <v>35</v>
      </c>
      <c r="AE293" s="19" t="s">
        <v>36</v>
      </c>
    </row>
    <row r="294" spans="1:31" ht="14.4" x14ac:dyDescent="0.3">
      <c r="A294" s="21">
        <v>5021</v>
      </c>
      <c r="B294" s="26" t="s">
        <v>111</v>
      </c>
      <c r="C294" s="8">
        <v>691</v>
      </c>
      <c r="D294" s="92" t="s">
        <v>76</v>
      </c>
      <c r="E294" s="6" t="s">
        <v>33</v>
      </c>
      <c r="F294" s="27">
        <v>46037</v>
      </c>
      <c r="G294" s="27">
        <v>46037</v>
      </c>
      <c r="H294" s="29">
        <v>27</v>
      </c>
      <c r="I294" s="30">
        <v>27</v>
      </c>
      <c r="J294" s="21"/>
      <c r="K294" s="31">
        <v>46037</v>
      </c>
      <c r="L294" s="29"/>
      <c r="M294" s="29"/>
      <c r="N294" s="69">
        <v>46037</v>
      </c>
      <c r="O294" s="70"/>
      <c r="P294" s="70"/>
      <c r="Q294" s="71"/>
      <c r="R294" s="71" t="str">
        <f>IF(Q294,Q294-K294,"")</f>
        <v/>
      </c>
      <c r="S294" s="71" t="str">
        <f>IF(R294="","",IF(R294&lt;=4,"Excellent",IF(R294&lt;=8,"Good",IF(R294&lt;=15,"Average",IF(R294&lt;=30,"Poor",IF(R294&gt;=30,"Bad"))))))</f>
        <v/>
      </c>
      <c r="T294" s="68" t="str">
        <f ca="1">IF(U294="","",IF(U294&lt;=3,"Excellent",IF(U294&lt;=7,"Good",IF(U294&lt;=14,"Average",IF(U294&lt;=30,"Poor",IF(U294&gt;=30,"Bad"))))))</f>
        <v/>
      </c>
      <c r="U294" s="68" t="str">
        <f ca="1">IF(E294="Document", IF(#REF!="", "", TODAY() -#REF!), "")</f>
        <v/>
      </c>
      <c r="V294" s="68">
        <f>3</f>
        <v>3</v>
      </c>
      <c r="W294" s="78" t="s">
        <v>140</v>
      </c>
      <c r="X294" s="78" t="s">
        <v>114</v>
      </c>
      <c r="Y294" s="75"/>
      <c r="Z294" s="75"/>
      <c r="AD294" s="21" t="s">
        <v>35</v>
      </c>
      <c r="AE294" s="19" t="s">
        <v>36</v>
      </c>
    </row>
    <row r="295" spans="1:31" ht="14.4" x14ac:dyDescent="0.3">
      <c r="A295" s="6">
        <v>4498</v>
      </c>
      <c r="B295" s="7" t="s">
        <v>47</v>
      </c>
      <c r="C295" s="8">
        <v>691</v>
      </c>
      <c r="D295" s="92" t="s">
        <v>32</v>
      </c>
      <c r="E295" s="6" t="s">
        <v>33</v>
      </c>
      <c r="F295" s="10">
        <v>45670</v>
      </c>
      <c r="G295" s="10">
        <v>45681</v>
      </c>
      <c r="H295" s="11">
        <v>217</v>
      </c>
      <c r="I295" s="12">
        <v>217</v>
      </c>
      <c r="J295" s="13"/>
      <c r="K295" s="36">
        <v>45681</v>
      </c>
      <c r="L295" s="11"/>
      <c r="M295" s="11"/>
      <c r="T295" s="78" t="str">
        <f t="shared" ref="T295:T296" ca="1" si="134">IF($U295="","",IF($U295&lt;=3,"Excellent",IF($U295&lt;=7,"Good",IF($U295&lt;=14,"Average",IF($U295&lt;=30,"Poor",IF($U295&gt;=30,"Bad"))))))</f>
        <v/>
      </c>
      <c r="U295" s="78" t="str">
        <f t="shared" ref="U295:U296" ca="1" si="135">IF(E295="Document", IF(G295="", "", TODAY() - G295), "")</f>
        <v/>
      </c>
      <c r="V295" s="78"/>
      <c r="W295" s="78"/>
      <c r="X295" s="74" t="s">
        <v>34</v>
      </c>
      <c r="Y295" s="18"/>
      <c r="Z295" s="18"/>
      <c r="AA295" s="18"/>
      <c r="AD295" s="6" t="s">
        <v>35</v>
      </c>
      <c r="AE295" s="19" t="s">
        <v>36</v>
      </c>
    </row>
    <row r="296" spans="1:31" ht="14.4" x14ac:dyDescent="0.3">
      <c r="A296" s="21">
        <v>4896</v>
      </c>
      <c r="B296" s="37" t="s">
        <v>340</v>
      </c>
      <c r="C296" s="8">
        <v>692</v>
      </c>
      <c r="D296" s="92" t="s">
        <v>38</v>
      </c>
      <c r="E296" s="21" t="s">
        <v>33</v>
      </c>
      <c r="F296" s="42">
        <v>45971</v>
      </c>
      <c r="G296" s="42">
        <v>45977</v>
      </c>
      <c r="H296" s="22">
        <v>351</v>
      </c>
      <c r="I296" s="23">
        <v>351</v>
      </c>
      <c r="J296" s="24"/>
      <c r="K296" s="85">
        <v>45996</v>
      </c>
      <c r="L296" s="22"/>
      <c r="M296" s="22"/>
      <c r="T296" s="82" t="str">
        <f t="shared" ca="1" si="134"/>
        <v/>
      </c>
      <c r="U296" s="82" t="str">
        <f t="shared" ca="1" si="135"/>
        <v/>
      </c>
      <c r="V296" s="82"/>
      <c r="W296" s="83" t="s">
        <v>341</v>
      </c>
      <c r="X296" s="83" t="s">
        <v>342</v>
      </c>
      <c r="Y296" s="28"/>
      <c r="Z296" s="28"/>
      <c r="AA296" s="28"/>
      <c r="AD296" s="21" t="s">
        <v>35</v>
      </c>
      <c r="AE296" s="19" t="s">
        <v>36</v>
      </c>
    </row>
    <row r="297" spans="1:31" ht="14.4" x14ac:dyDescent="0.3">
      <c r="A297" s="21">
        <v>5078</v>
      </c>
      <c r="B297" s="26" t="s">
        <v>343</v>
      </c>
      <c r="C297" s="8">
        <v>693</v>
      </c>
      <c r="D297" s="92" t="s">
        <v>32</v>
      </c>
      <c r="E297" s="6" t="s">
        <v>33</v>
      </c>
      <c r="F297" s="27">
        <v>46082</v>
      </c>
      <c r="G297" s="27">
        <v>46089</v>
      </c>
      <c r="H297" s="29">
        <v>285</v>
      </c>
      <c r="I297" s="30">
        <v>285</v>
      </c>
      <c r="J297" s="21"/>
      <c r="K297" s="31">
        <v>46090</v>
      </c>
      <c r="L297" s="29"/>
      <c r="M297" s="29"/>
      <c r="N297" s="69">
        <v>46090</v>
      </c>
      <c r="O297" s="70"/>
      <c r="P297" s="70"/>
      <c r="Q297" s="71"/>
      <c r="R297" s="71" t="str">
        <f>IF(Q297,Q297-K297,"")</f>
        <v/>
      </c>
      <c r="S297" s="71" t="str">
        <f>IF(R297="","",IF(R297&lt;=4,"Excellent",IF(R297&lt;=8,"Good",IF(R297&lt;=15,"Average",IF(R297&lt;=30,"Poor",IF(R297&gt;=30,"Bad"))))))</f>
        <v/>
      </c>
      <c r="T297" s="68" t="str">
        <f ca="1">IF(U297="","",IF(U297&lt;=3,"Excellent",IF(U297&lt;=7,"Good",IF(U297&lt;=14,"Average",IF(U297&lt;=30,"Poor",IF(U297&gt;=30,"Bad"))))))</f>
        <v/>
      </c>
      <c r="U297" s="68" t="str">
        <f ca="1">IF(E297="Document", IF(#REF!="", "", TODAY() -#REF!), "")</f>
        <v/>
      </c>
      <c r="V297" s="68"/>
      <c r="W297" s="78" t="s">
        <v>344</v>
      </c>
      <c r="X297" s="78" t="s">
        <v>114</v>
      </c>
      <c r="Y297" s="75"/>
      <c r="Z297" s="75"/>
      <c r="AD297" s="21" t="s">
        <v>35</v>
      </c>
      <c r="AE297" s="19" t="s">
        <v>36</v>
      </c>
    </row>
    <row r="298" spans="1:31" ht="14.4" x14ac:dyDescent="0.3">
      <c r="A298" s="6">
        <v>4631</v>
      </c>
      <c r="B298" s="7" t="s">
        <v>37</v>
      </c>
      <c r="C298" s="8">
        <v>697</v>
      </c>
      <c r="D298" s="92" t="s">
        <v>38</v>
      </c>
      <c r="E298" s="6" t="s">
        <v>290</v>
      </c>
      <c r="F298" s="10">
        <v>45782</v>
      </c>
      <c r="G298" s="10">
        <v>45789</v>
      </c>
      <c r="H298" s="16"/>
      <c r="I298" s="53"/>
      <c r="J298" s="54"/>
      <c r="K298" s="41"/>
      <c r="L298" s="16"/>
      <c r="M298" s="16"/>
      <c r="T298" s="78" t="str">
        <f t="shared" ref="T298:T305" ca="1" si="136">IF($U298="","",IF($U298&lt;=3,"Excellent",IF($U298&lt;=7,"Good",IF($U298&lt;=14,"Average",IF($U298&lt;=30,"Poor",IF($U298&gt;=30,"Bad"))))))</f>
        <v/>
      </c>
      <c r="U298" s="78" t="str">
        <f t="shared" ref="U298:U305" ca="1" si="137">IF(E298="Document", IF(G298="", "", TODAY() - G298), "")</f>
        <v/>
      </c>
      <c r="V298" s="78"/>
      <c r="W298" s="78"/>
      <c r="X298" s="78"/>
      <c r="Y298" s="18"/>
      <c r="Z298" s="18"/>
      <c r="AA298" s="18"/>
      <c r="AD298" s="6" t="s">
        <v>55</v>
      </c>
      <c r="AE298" s="19" t="s">
        <v>36</v>
      </c>
    </row>
    <row r="299" spans="1:31" ht="14.4" x14ac:dyDescent="0.3">
      <c r="A299" s="21">
        <v>4847</v>
      </c>
      <c r="B299" s="37" t="s">
        <v>47</v>
      </c>
      <c r="C299" s="8">
        <v>698</v>
      </c>
      <c r="D299" s="92" t="s">
        <v>32</v>
      </c>
      <c r="E299" s="21" t="s">
        <v>46</v>
      </c>
      <c r="F299" s="38">
        <v>46006</v>
      </c>
      <c r="G299" s="38">
        <v>46012</v>
      </c>
      <c r="H299" s="25"/>
      <c r="I299" s="39"/>
      <c r="J299" s="40"/>
      <c r="K299" s="41"/>
      <c r="L299" s="25"/>
      <c r="M299" s="25"/>
      <c r="T299" s="81" t="str">
        <f t="shared" ca="1" si="136"/>
        <v>Bad</v>
      </c>
      <c r="U299" s="75">
        <f t="shared" ca="1" si="137"/>
        <v>123</v>
      </c>
      <c r="V299" s="82"/>
      <c r="W299" s="82"/>
      <c r="X299" s="82"/>
      <c r="Y299" s="28"/>
      <c r="Z299" s="28"/>
      <c r="AA299" s="28"/>
      <c r="AD299" s="21" t="s">
        <v>35</v>
      </c>
      <c r="AE299" s="19" t="s">
        <v>36</v>
      </c>
    </row>
    <row r="300" spans="1:31" ht="14.4" x14ac:dyDescent="0.3">
      <c r="A300" s="6">
        <v>4624</v>
      </c>
      <c r="B300" s="7" t="s">
        <v>345</v>
      </c>
      <c r="C300" s="8">
        <v>702</v>
      </c>
      <c r="D300" s="92" t="s">
        <v>76</v>
      </c>
      <c r="E300" s="6" t="s">
        <v>33</v>
      </c>
      <c r="F300" s="10">
        <v>45743</v>
      </c>
      <c r="G300" s="10">
        <v>45744</v>
      </c>
      <c r="H300" s="11">
        <v>19</v>
      </c>
      <c r="I300" s="12">
        <v>19</v>
      </c>
      <c r="J300" s="13"/>
      <c r="K300" s="14">
        <v>45744</v>
      </c>
      <c r="L300" s="11"/>
      <c r="M300" s="11"/>
      <c r="T300" s="78" t="str">
        <f t="shared" ca="1" si="136"/>
        <v/>
      </c>
      <c r="U300" s="78" t="str">
        <f t="shared" ca="1" si="137"/>
        <v/>
      </c>
      <c r="V300" s="78"/>
      <c r="W300" s="74" t="s">
        <v>106</v>
      </c>
      <c r="X300" s="74" t="s">
        <v>159</v>
      </c>
      <c r="Y300" s="18"/>
      <c r="Z300" s="18"/>
      <c r="AA300" s="18"/>
      <c r="AD300" s="6" t="s">
        <v>35</v>
      </c>
      <c r="AE300" s="19" t="s">
        <v>36</v>
      </c>
    </row>
    <row r="301" spans="1:31" ht="14.4" x14ac:dyDescent="0.3">
      <c r="A301" s="21">
        <v>4911</v>
      </c>
      <c r="B301" s="37" t="s">
        <v>47</v>
      </c>
      <c r="C301" s="8">
        <v>702</v>
      </c>
      <c r="D301" s="92" t="s">
        <v>32</v>
      </c>
      <c r="E301" s="21" t="s">
        <v>46</v>
      </c>
      <c r="F301" s="38">
        <v>45999</v>
      </c>
      <c r="G301" s="38">
        <v>46012</v>
      </c>
      <c r="H301" s="25"/>
      <c r="I301" s="39"/>
      <c r="J301" s="40"/>
      <c r="K301" s="41"/>
      <c r="L301" s="25"/>
      <c r="M301" s="25"/>
      <c r="T301" s="81" t="str">
        <f t="shared" ca="1" si="136"/>
        <v>Bad</v>
      </c>
      <c r="U301" s="75">
        <f t="shared" ca="1" si="137"/>
        <v>123</v>
      </c>
      <c r="V301" s="82"/>
      <c r="W301" s="82"/>
      <c r="X301" s="82"/>
      <c r="Y301" s="28"/>
      <c r="Z301" s="28"/>
      <c r="AA301" s="28"/>
      <c r="AD301" s="21" t="s">
        <v>35</v>
      </c>
      <c r="AE301" s="19" t="s">
        <v>36</v>
      </c>
    </row>
    <row r="302" spans="1:31" ht="14.4" x14ac:dyDescent="0.3">
      <c r="A302" s="21">
        <v>4766</v>
      </c>
      <c r="B302" s="7" t="s">
        <v>37</v>
      </c>
      <c r="C302" s="8">
        <v>704</v>
      </c>
      <c r="D302" s="92" t="s">
        <v>38</v>
      </c>
      <c r="E302" s="21" t="s">
        <v>33</v>
      </c>
      <c r="F302" s="10">
        <v>45866</v>
      </c>
      <c r="G302" s="10">
        <v>45870</v>
      </c>
      <c r="H302" s="22">
        <v>75</v>
      </c>
      <c r="I302" s="23">
        <v>125</v>
      </c>
      <c r="J302" s="24"/>
      <c r="K302" s="14">
        <v>45876</v>
      </c>
      <c r="L302" s="22"/>
      <c r="M302" s="22"/>
      <c r="T302" s="82" t="str">
        <f t="shared" ca="1" si="136"/>
        <v/>
      </c>
      <c r="U302" s="82" t="str">
        <f t="shared" ca="1" si="137"/>
        <v/>
      </c>
      <c r="V302" s="75">
        <f>4</f>
        <v>4</v>
      </c>
      <c r="W302" s="83" t="s">
        <v>346</v>
      </c>
      <c r="X302" s="83" t="s">
        <v>100</v>
      </c>
      <c r="Y302" s="28"/>
      <c r="Z302" s="28"/>
      <c r="AA302" s="28"/>
      <c r="AD302" s="21" t="s">
        <v>35</v>
      </c>
      <c r="AE302" s="19" t="s">
        <v>36</v>
      </c>
    </row>
    <row r="303" spans="1:31" ht="14.4" x14ac:dyDescent="0.3">
      <c r="A303" s="6">
        <v>4562</v>
      </c>
      <c r="B303" s="7" t="s">
        <v>347</v>
      </c>
      <c r="C303" s="8">
        <v>708</v>
      </c>
      <c r="D303" s="92" t="s">
        <v>57</v>
      </c>
      <c r="E303" s="6" t="s">
        <v>33</v>
      </c>
      <c r="F303" s="10">
        <v>45705</v>
      </c>
      <c r="G303" s="10">
        <v>45705</v>
      </c>
      <c r="H303" s="11">
        <v>25</v>
      </c>
      <c r="I303" s="12">
        <v>25</v>
      </c>
      <c r="J303" s="13"/>
      <c r="K303" s="14">
        <v>45706</v>
      </c>
      <c r="L303" s="11"/>
      <c r="M303" s="11"/>
      <c r="T303" s="78" t="str">
        <f t="shared" ca="1" si="136"/>
        <v/>
      </c>
      <c r="U303" s="78" t="str">
        <f t="shared" ca="1" si="137"/>
        <v/>
      </c>
      <c r="V303" s="73">
        <f>108</f>
        <v>108</v>
      </c>
      <c r="W303" s="78"/>
      <c r="X303" s="74" t="s">
        <v>348</v>
      </c>
      <c r="Y303" s="18"/>
      <c r="Z303" s="18"/>
      <c r="AA303" s="18"/>
      <c r="AD303" s="6" t="s">
        <v>35</v>
      </c>
      <c r="AE303" s="19" t="s">
        <v>36</v>
      </c>
    </row>
    <row r="304" spans="1:31" ht="14.4" x14ac:dyDescent="0.3">
      <c r="A304" s="21">
        <v>4861</v>
      </c>
      <c r="B304" s="7" t="s">
        <v>349</v>
      </c>
      <c r="C304" s="8">
        <v>708</v>
      </c>
      <c r="D304" s="92" t="s">
        <v>57</v>
      </c>
      <c r="E304" s="21" t="s">
        <v>33</v>
      </c>
      <c r="F304" s="64">
        <v>45919</v>
      </c>
      <c r="G304" s="64">
        <v>45922</v>
      </c>
      <c r="H304" s="22">
        <v>15</v>
      </c>
      <c r="I304" s="23">
        <v>15</v>
      </c>
      <c r="J304" s="24"/>
      <c r="K304" s="14">
        <v>45923</v>
      </c>
      <c r="L304" s="22"/>
      <c r="M304" s="22"/>
      <c r="T304" s="82" t="str">
        <f t="shared" ca="1" si="136"/>
        <v/>
      </c>
      <c r="U304" s="82" t="str">
        <f t="shared" ca="1" si="137"/>
        <v/>
      </c>
      <c r="V304" s="75">
        <f>1</f>
        <v>1</v>
      </c>
      <c r="W304" s="82"/>
      <c r="X304" s="83" t="s">
        <v>164</v>
      </c>
      <c r="Y304" s="28"/>
      <c r="Z304" s="28"/>
      <c r="AA304" s="28"/>
      <c r="AD304" s="21" t="s">
        <v>35</v>
      </c>
      <c r="AE304" s="19" t="s">
        <v>36</v>
      </c>
    </row>
    <row r="305" spans="1:31" ht="14.4" x14ac:dyDescent="0.3">
      <c r="A305" s="21">
        <v>4868</v>
      </c>
      <c r="B305" s="37" t="s">
        <v>350</v>
      </c>
      <c r="C305" s="8">
        <v>708</v>
      </c>
      <c r="D305" s="92" t="s">
        <v>57</v>
      </c>
      <c r="E305" s="21" t="s">
        <v>33</v>
      </c>
      <c r="F305" s="66">
        <v>45938</v>
      </c>
      <c r="G305" s="66">
        <v>45938</v>
      </c>
      <c r="H305" s="22">
        <v>10</v>
      </c>
      <c r="I305" s="23">
        <v>15</v>
      </c>
      <c r="J305" s="24"/>
      <c r="K305" s="14">
        <v>45939</v>
      </c>
      <c r="L305" s="22"/>
      <c r="M305" s="22"/>
      <c r="T305" s="82" t="str">
        <f t="shared" ca="1" si="136"/>
        <v/>
      </c>
      <c r="U305" s="82" t="str">
        <f t="shared" ca="1" si="137"/>
        <v/>
      </c>
      <c r="V305" s="75">
        <f>2</f>
        <v>2</v>
      </c>
      <c r="W305" s="82"/>
      <c r="X305" s="83" t="s">
        <v>297</v>
      </c>
      <c r="Y305" s="28"/>
      <c r="Z305" s="28"/>
      <c r="AA305" s="28"/>
      <c r="AD305" s="21" t="s">
        <v>35</v>
      </c>
      <c r="AE305" s="19" t="s">
        <v>36</v>
      </c>
    </row>
    <row r="306" spans="1:31" ht="14.4" x14ac:dyDescent="0.3">
      <c r="A306" s="21">
        <v>5007</v>
      </c>
      <c r="B306" s="26" t="s">
        <v>351</v>
      </c>
      <c r="C306" s="8">
        <v>710</v>
      </c>
      <c r="D306" s="92" t="s">
        <v>38</v>
      </c>
      <c r="E306" s="6" t="s">
        <v>33</v>
      </c>
      <c r="F306" s="27">
        <v>46048</v>
      </c>
      <c r="G306" s="27">
        <v>46054</v>
      </c>
      <c r="H306" s="29">
        <v>223</v>
      </c>
      <c r="I306" s="30">
        <v>233</v>
      </c>
      <c r="J306" s="21"/>
      <c r="K306" s="31">
        <v>46062</v>
      </c>
      <c r="L306" s="29"/>
      <c r="M306" s="29"/>
      <c r="N306" s="69">
        <v>46062</v>
      </c>
      <c r="O306" s="70"/>
      <c r="P306" s="70"/>
      <c r="Q306" s="71"/>
      <c r="R306" s="71" t="str">
        <f>IF(Q306,Q306-K306,"")</f>
        <v/>
      </c>
      <c r="S306" s="71" t="str">
        <f>IF(R306="","",IF(R306&lt;=4,"Excellent",IF(R306&lt;=8,"Good",IF(R306&lt;=15,"Average",IF(R306&lt;=30,"Poor",IF(R306&gt;=30,"Bad"))))))</f>
        <v/>
      </c>
      <c r="T306" s="68" t="str">
        <f ca="1">IF(U306="","",IF(U306&lt;=3,"Excellent",IF(U306&lt;=7,"Good",IF(U306&lt;=14,"Average",IF(U306&lt;=30,"Poor",IF(U306&gt;=30,"Bad"))))))</f>
        <v/>
      </c>
      <c r="U306" s="68" t="str">
        <f ca="1">IF(E306="Document", IF(#REF!="", "", TODAY() -#REF!), "")</f>
        <v/>
      </c>
      <c r="V306" s="68"/>
      <c r="W306" s="78" t="s">
        <v>138</v>
      </c>
      <c r="X306" s="78" t="s">
        <v>236</v>
      </c>
      <c r="Y306" s="75"/>
      <c r="Z306" s="75"/>
      <c r="AD306" s="21" t="s">
        <v>35</v>
      </c>
      <c r="AE306" s="19" t="s">
        <v>36</v>
      </c>
    </row>
    <row r="307" spans="1:31" ht="14.4" x14ac:dyDescent="0.3">
      <c r="A307" s="6">
        <v>4642</v>
      </c>
      <c r="B307" s="7" t="s">
        <v>84</v>
      </c>
      <c r="C307" s="8">
        <v>710</v>
      </c>
      <c r="D307" s="92" t="s">
        <v>38</v>
      </c>
      <c r="E307" s="6" t="s">
        <v>33</v>
      </c>
      <c r="F307" s="10">
        <v>45803</v>
      </c>
      <c r="G307" s="10">
        <v>45812</v>
      </c>
      <c r="H307" s="11">
        <v>328</v>
      </c>
      <c r="I307" s="12">
        <v>328</v>
      </c>
      <c r="J307" s="13"/>
      <c r="K307" s="14">
        <v>45812</v>
      </c>
      <c r="L307" s="11"/>
      <c r="M307" s="11"/>
      <c r="T307" s="78" t="str">
        <f t="shared" ref="T307:T308" ca="1" si="138">IF($U307="","",IF($U307&lt;=3,"Excellent",IF($U307&lt;=7,"Good",IF($U307&lt;=14,"Average",IF($U307&lt;=30,"Poor",IF($U307&gt;=30,"Bad"))))))</f>
        <v/>
      </c>
      <c r="U307" s="78" t="str">
        <f t="shared" ref="U307:U309" ca="1" si="139">IF(E307="Document", IF(G307="", "", TODAY() - G307), "")</f>
        <v/>
      </c>
      <c r="V307" s="78"/>
      <c r="W307" s="78"/>
      <c r="X307" s="74" t="s">
        <v>34</v>
      </c>
      <c r="Y307" s="18"/>
      <c r="Z307" s="18"/>
      <c r="AA307" s="18"/>
      <c r="AD307" s="6" t="s">
        <v>35</v>
      </c>
      <c r="AE307" s="19" t="s">
        <v>36</v>
      </c>
    </row>
    <row r="308" spans="1:31" ht="14.4" x14ac:dyDescent="0.3">
      <c r="A308" s="6">
        <v>4632</v>
      </c>
      <c r="B308" s="7" t="s">
        <v>73</v>
      </c>
      <c r="C308" s="8">
        <v>713</v>
      </c>
      <c r="D308" s="92" t="s">
        <v>32</v>
      </c>
      <c r="E308" s="6" t="s">
        <v>33</v>
      </c>
      <c r="F308" s="10">
        <v>45782</v>
      </c>
      <c r="G308" s="10">
        <v>45786</v>
      </c>
      <c r="H308" s="11">
        <v>148</v>
      </c>
      <c r="I308" s="12">
        <v>178</v>
      </c>
      <c r="J308" s="13"/>
      <c r="K308" s="14">
        <v>45789</v>
      </c>
      <c r="L308" s="11"/>
      <c r="M308" s="11"/>
      <c r="T308" s="78" t="str">
        <f t="shared" ca="1" si="138"/>
        <v/>
      </c>
      <c r="U308" s="78" t="str">
        <f t="shared" ca="1" si="139"/>
        <v/>
      </c>
      <c r="V308" s="78"/>
      <c r="W308" s="74" t="s">
        <v>106</v>
      </c>
      <c r="X308" s="74" t="s">
        <v>250</v>
      </c>
      <c r="Y308" s="18"/>
      <c r="Z308" s="18"/>
      <c r="AA308" s="18"/>
      <c r="AD308" s="6" t="s">
        <v>35</v>
      </c>
      <c r="AE308" s="19" t="s">
        <v>36</v>
      </c>
    </row>
    <row r="309" spans="1:31" ht="14.4" x14ac:dyDescent="0.3">
      <c r="A309" s="21">
        <v>5100</v>
      </c>
      <c r="B309" s="26" t="s">
        <v>47</v>
      </c>
      <c r="C309" s="8">
        <v>714</v>
      </c>
      <c r="D309" s="92" t="s">
        <v>32</v>
      </c>
      <c r="E309" s="21" t="s">
        <v>46</v>
      </c>
      <c r="F309" s="27">
        <v>46090</v>
      </c>
      <c r="G309" s="27">
        <v>46099</v>
      </c>
      <c r="H309" s="29"/>
      <c r="I309" s="30"/>
      <c r="J309" s="21"/>
      <c r="K309" s="31"/>
      <c r="L309" s="29"/>
      <c r="M309" s="29"/>
      <c r="N309" s="69"/>
      <c r="O309" s="70"/>
      <c r="P309" s="70"/>
      <c r="Q309" s="71"/>
      <c r="R309" s="71" t="str">
        <f>IF(Q309,Q309-K309,"")</f>
        <v/>
      </c>
      <c r="S309" s="71" t="str">
        <f>IF(R309="","",IF(R309&lt;=4,"Excellent",IF(R309&lt;=8,"Good",IF(R309&lt;=15,"Average",IF(R309&lt;=30,"Poor",IF(R309&gt;=30,"Bad"))))))</f>
        <v/>
      </c>
      <c r="T309" s="68" t="str">
        <f ca="1">IF(U309="","",IF(U309&lt;=3,"Excellent",IF(U309&lt;=7,"Good",IF(U309&lt;=14,"Average",IF(U309&lt;=30,"Poor",IF(U309&gt;=30,"Bad"))))))</f>
        <v>Bad</v>
      </c>
      <c r="U309" s="21">
        <f t="shared" ca="1" si="139"/>
        <v>36</v>
      </c>
      <c r="V309" s="68">
        <f>34</f>
        <v>34</v>
      </c>
      <c r="W309" s="78"/>
      <c r="X309" s="78"/>
      <c r="Y309" s="75"/>
      <c r="Z309" s="75"/>
      <c r="AD309" s="21" t="s">
        <v>35</v>
      </c>
      <c r="AE309" s="19" t="s">
        <v>36</v>
      </c>
    </row>
    <row r="310" spans="1:31" ht="14.4" x14ac:dyDescent="0.3">
      <c r="A310" s="6">
        <v>4527</v>
      </c>
      <c r="B310" s="7" t="s">
        <v>84</v>
      </c>
      <c r="C310" s="8">
        <v>714</v>
      </c>
      <c r="D310" s="92" t="s">
        <v>38</v>
      </c>
      <c r="E310" s="6" t="s">
        <v>33</v>
      </c>
      <c r="F310" s="10">
        <v>45691</v>
      </c>
      <c r="G310" s="10">
        <v>45697</v>
      </c>
      <c r="H310" s="11">
        <v>233</v>
      </c>
      <c r="I310" s="12">
        <v>338</v>
      </c>
      <c r="J310" s="13"/>
      <c r="K310" s="36">
        <v>45698</v>
      </c>
      <c r="L310" s="11"/>
      <c r="M310" s="11"/>
      <c r="T310" s="78" t="str">
        <f t="shared" ref="T310:T311" ca="1" si="140">IF($U310="","",IF($U310&lt;=3,"Excellent",IF($U310&lt;=7,"Good",IF($U310&lt;=14,"Average",IF($U310&lt;=30,"Poor",IF($U310&gt;=30,"Bad"))))))</f>
        <v/>
      </c>
      <c r="U310" s="78" t="str">
        <f t="shared" ref="U310:U311" ca="1" si="141">IF(E310="Document", IF(G310="", "", TODAY() - G310), "")</f>
        <v/>
      </c>
      <c r="V310" s="78"/>
      <c r="W310" s="78"/>
      <c r="X310" s="74" t="s">
        <v>34</v>
      </c>
      <c r="Y310" s="18"/>
      <c r="Z310" s="18"/>
      <c r="AA310" s="18"/>
      <c r="AD310" s="6" t="s">
        <v>35</v>
      </c>
      <c r="AE310" s="19" t="s">
        <v>36</v>
      </c>
    </row>
    <row r="311" spans="1:31" ht="14.4" x14ac:dyDescent="0.3">
      <c r="A311" s="6">
        <v>4576</v>
      </c>
      <c r="B311" s="7" t="s">
        <v>156</v>
      </c>
      <c r="C311" s="8">
        <v>714</v>
      </c>
      <c r="D311" s="92" t="s">
        <v>32</v>
      </c>
      <c r="E311" s="6" t="s">
        <v>33</v>
      </c>
      <c r="F311" s="10">
        <v>45714</v>
      </c>
      <c r="G311" s="10">
        <v>45725</v>
      </c>
      <c r="H311" s="11">
        <v>278</v>
      </c>
      <c r="I311" s="12">
        <v>318</v>
      </c>
      <c r="J311" s="13"/>
      <c r="K311" s="36">
        <v>45726</v>
      </c>
      <c r="L311" s="11"/>
      <c r="M311" s="11"/>
      <c r="T311" s="78" t="str">
        <f t="shared" ca="1" si="140"/>
        <v/>
      </c>
      <c r="U311" s="78" t="str">
        <f t="shared" ca="1" si="141"/>
        <v/>
      </c>
      <c r="V311" s="78"/>
      <c r="W311" s="78"/>
      <c r="X311" s="74" t="s">
        <v>34</v>
      </c>
      <c r="Y311" s="18"/>
      <c r="Z311" s="18"/>
      <c r="AA311" s="18"/>
      <c r="AD311" s="6" t="s">
        <v>35</v>
      </c>
      <c r="AE311" s="19" t="s">
        <v>36</v>
      </c>
    </row>
    <row r="312" spans="1:31" ht="14.4" x14ac:dyDescent="0.3">
      <c r="A312" s="21">
        <v>5067</v>
      </c>
      <c r="B312" s="26" t="s">
        <v>352</v>
      </c>
      <c r="C312" s="8">
        <v>719</v>
      </c>
      <c r="D312" s="92" t="s">
        <v>38</v>
      </c>
      <c r="E312" s="6" t="s">
        <v>33</v>
      </c>
      <c r="F312" s="27">
        <v>46064</v>
      </c>
      <c r="G312" s="27">
        <v>46073</v>
      </c>
      <c r="H312" s="29">
        <v>298</v>
      </c>
      <c r="I312" s="30">
        <v>298</v>
      </c>
      <c r="J312" s="21"/>
      <c r="K312" s="31">
        <v>46078</v>
      </c>
      <c r="L312" s="29"/>
      <c r="M312" s="29"/>
      <c r="N312" s="69">
        <v>46078</v>
      </c>
      <c r="O312" s="70"/>
      <c r="P312" s="70"/>
      <c r="Q312" s="71"/>
      <c r="R312" s="71" t="str">
        <f>IF(Q312,Q312-K312,"")</f>
        <v/>
      </c>
      <c r="S312" s="71" t="str">
        <f>IF(R312="","",IF(R312&lt;=4,"Excellent",IF(R312&lt;=8,"Good",IF(R312&lt;=15,"Average",IF(R312&lt;=30,"Poor",IF(R312&gt;=30,"Bad"))))))</f>
        <v/>
      </c>
      <c r="T312" s="68" t="str">
        <f ca="1">IF(U312="","",IF(U312&lt;=3,"Excellent",IF(U312&lt;=7,"Good",IF(U312&lt;=14,"Average",IF(U312&lt;=30,"Poor",IF(U312&gt;=30,"Bad"))))))</f>
        <v/>
      </c>
      <c r="U312" s="68" t="str">
        <f ca="1">IF(E312="Document", IF(#REF!="", "", TODAY() -#REF!), "")</f>
        <v/>
      </c>
      <c r="V312" s="68"/>
      <c r="W312" s="78" t="s">
        <v>53</v>
      </c>
      <c r="X312" s="78" t="s">
        <v>70</v>
      </c>
      <c r="Y312" s="75"/>
      <c r="Z312" s="75"/>
      <c r="AD312" s="21" t="s">
        <v>35</v>
      </c>
      <c r="AE312" s="19" t="s">
        <v>36</v>
      </c>
    </row>
    <row r="313" spans="1:31" ht="14.4" x14ac:dyDescent="0.3">
      <c r="A313" s="21">
        <v>4965</v>
      </c>
      <c r="B313" s="37" t="s">
        <v>353</v>
      </c>
      <c r="C313" s="8">
        <v>719</v>
      </c>
      <c r="D313" s="92" t="s">
        <v>32</v>
      </c>
      <c r="E313" s="6" t="s">
        <v>33</v>
      </c>
      <c r="F313" s="38">
        <v>46004</v>
      </c>
      <c r="G313" s="38">
        <v>46017</v>
      </c>
      <c r="H313" s="22">
        <v>240</v>
      </c>
      <c r="I313" s="23">
        <v>250</v>
      </c>
      <c r="J313" s="24"/>
      <c r="K313" s="14">
        <v>46020</v>
      </c>
      <c r="L313" s="22"/>
      <c r="M313" s="22"/>
      <c r="T313" s="82" t="str">
        <f t="shared" ref="T313:T321" ca="1" si="142">IF($U313="","",IF($U313&lt;=3,"Excellent",IF($U313&lt;=7,"Good",IF($U313&lt;=14,"Average",IF($U313&lt;=30,"Poor",IF($U313&gt;=30,"Bad"))))))</f>
        <v/>
      </c>
      <c r="U313" s="82" t="str">
        <f t="shared" ref="U313:U325" ca="1" si="143">IF(E313="Document", IF(G313="", "", TODAY() - G313), "")</f>
        <v/>
      </c>
      <c r="V313" s="82"/>
      <c r="W313" s="83" t="s">
        <v>354</v>
      </c>
      <c r="X313" s="83" t="s">
        <v>151</v>
      </c>
      <c r="Y313" s="28"/>
      <c r="Z313" s="28"/>
      <c r="AA313" s="28"/>
      <c r="AD313" s="21" t="s">
        <v>35</v>
      </c>
      <c r="AE313" s="19" t="s">
        <v>36</v>
      </c>
    </row>
    <row r="314" spans="1:31" ht="14.4" x14ac:dyDescent="0.3">
      <c r="A314" s="21">
        <v>4866</v>
      </c>
      <c r="B314" s="37" t="s">
        <v>47</v>
      </c>
      <c r="C314" s="8">
        <v>722</v>
      </c>
      <c r="D314" s="92" t="s">
        <v>32</v>
      </c>
      <c r="E314" s="21" t="s">
        <v>46</v>
      </c>
      <c r="F314" s="66">
        <v>45943</v>
      </c>
      <c r="G314" s="66">
        <v>45957</v>
      </c>
      <c r="H314" s="25"/>
      <c r="I314" s="39"/>
      <c r="J314" s="40"/>
      <c r="K314" s="41"/>
      <c r="L314" s="25"/>
      <c r="M314" s="25"/>
      <c r="T314" s="81" t="str">
        <f t="shared" ca="1" si="142"/>
        <v>Bad</v>
      </c>
      <c r="U314" s="75">
        <f t="shared" ca="1" si="143"/>
        <v>178</v>
      </c>
      <c r="V314" s="75">
        <f>1</f>
        <v>1</v>
      </c>
      <c r="W314" s="82"/>
      <c r="X314" s="82"/>
      <c r="Y314" s="28"/>
      <c r="Z314" s="28"/>
      <c r="AA314" s="28"/>
      <c r="AD314" s="21" t="s">
        <v>35</v>
      </c>
      <c r="AE314" s="19" t="s">
        <v>36</v>
      </c>
    </row>
    <row r="315" spans="1:31" ht="14.4" x14ac:dyDescent="0.3">
      <c r="A315" s="21">
        <v>4864</v>
      </c>
      <c r="B315" s="37" t="s">
        <v>355</v>
      </c>
      <c r="C315" s="8">
        <v>723</v>
      </c>
      <c r="D315" s="92" t="s">
        <v>32</v>
      </c>
      <c r="E315" s="21" t="s">
        <v>33</v>
      </c>
      <c r="F315" s="66">
        <v>45940</v>
      </c>
      <c r="G315" s="66">
        <v>45940</v>
      </c>
      <c r="H315" s="22">
        <v>105</v>
      </c>
      <c r="I315" s="23">
        <v>165</v>
      </c>
      <c r="J315" s="24"/>
      <c r="K315" s="14">
        <v>45945</v>
      </c>
      <c r="L315" s="22"/>
      <c r="M315" s="22"/>
      <c r="T315" s="82" t="str">
        <f t="shared" ca="1" si="142"/>
        <v/>
      </c>
      <c r="U315" s="82" t="str">
        <f t="shared" ca="1" si="143"/>
        <v/>
      </c>
      <c r="V315" s="75">
        <f>4</f>
        <v>4</v>
      </c>
      <c r="W315" s="83" t="s">
        <v>356</v>
      </c>
      <c r="X315" s="83" t="s">
        <v>275</v>
      </c>
      <c r="Y315" s="28"/>
      <c r="Z315" s="28"/>
      <c r="AA315" s="28"/>
      <c r="AD315" s="21" t="s">
        <v>35</v>
      </c>
      <c r="AE315" s="19" t="s">
        <v>36</v>
      </c>
    </row>
    <row r="316" spans="1:31" ht="14.4" x14ac:dyDescent="0.3">
      <c r="A316" s="21">
        <v>4940</v>
      </c>
      <c r="B316" s="37" t="s">
        <v>37</v>
      </c>
      <c r="C316" s="8">
        <v>729</v>
      </c>
      <c r="D316" s="92" t="s">
        <v>38</v>
      </c>
      <c r="E316" s="21" t="s">
        <v>33</v>
      </c>
      <c r="F316" s="38">
        <v>45993</v>
      </c>
      <c r="G316" s="38">
        <v>45998</v>
      </c>
      <c r="H316" s="22">
        <v>297</v>
      </c>
      <c r="I316" s="23">
        <v>342</v>
      </c>
      <c r="J316" s="24"/>
      <c r="K316" s="14">
        <v>45999</v>
      </c>
      <c r="L316" s="22"/>
      <c r="M316" s="22"/>
      <c r="T316" s="82" t="str">
        <f t="shared" ca="1" si="142"/>
        <v/>
      </c>
      <c r="U316" s="82" t="str">
        <f t="shared" ca="1" si="143"/>
        <v/>
      </c>
      <c r="V316" s="82"/>
      <c r="W316" s="83" t="s">
        <v>357</v>
      </c>
      <c r="X316" s="83" t="s">
        <v>358</v>
      </c>
      <c r="Y316" s="28"/>
      <c r="Z316" s="28"/>
      <c r="AA316" s="28"/>
      <c r="AD316" s="21" t="s">
        <v>35</v>
      </c>
      <c r="AE316" s="19" t="s">
        <v>36</v>
      </c>
    </row>
    <row r="317" spans="1:31" ht="14.4" x14ac:dyDescent="0.3">
      <c r="A317" s="21">
        <v>4922</v>
      </c>
      <c r="B317" s="37" t="s">
        <v>130</v>
      </c>
      <c r="C317" s="8">
        <v>730</v>
      </c>
      <c r="D317" s="92" t="s">
        <v>32</v>
      </c>
      <c r="E317" s="21" t="s">
        <v>33</v>
      </c>
      <c r="F317" s="42">
        <v>45986</v>
      </c>
      <c r="G317" s="42">
        <v>45992</v>
      </c>
      <c r="H317" s="22">
        <v>302</v>
      </c>
      <c r="I317" s="23">
        <v>342</v>
      </c>
      <c r="J317" s="24"/>
      <c r="K317" s="14">
        <v>45993</v>
      </c>
      <c r="L317" s="22"/>
      <c r="M317" s="22"/>
      <c r="T317" s="82" t="str">
        <f t="shared" ca="1" si="142"/>
        <v/>
      </c>
      <c r="U317" s="82" t="str">
        <f t="shared" ca="1" si="143"/>
        <v/>
      </c>
      <c r="V317" s="82"/>
      <c r="W317" s="83" t="s">
        <v>104</v>
      </c>
      <c r="X317" s="83" t="s">
        <v>285</v>
      </c>
      <c r="Y317" s="28"/>
      <c r="Z317" s="28"/>
      <c r="AA317" s="28"/>
      <c r="AD317" s="21" t="s">
        <v>35</v>
      </c>
      <c r="AE317" s="19" t="s">
        <v>36</v>
      </c>
    </row>
    <row r="318" spans="1:31" ht="14.4" x14ac:dyDescent="0.3">
      <c r="A318" s="6">
        <v>4627</v>
      </c>
      <c r="B318" s="7" t="s">
        <v>47</v>
      </c>
      <c r="C318" s="8">
        <v>734</v>
      </c>
      <c r="D318" s="92" t="s">
        <v>32</v>
      </c>
      <c r="E318" s="6" t="s">
        <v>33</v>
      </c>
      <c r="F318" s="10">
        <v>45771</v>
      </c>
      <c r="G318" s="10">
        <v>45780</v>
      </c>
      <c r="H318" s="11">
        <v>222</v>
      </c>
      <c r="I318" s="12">
        <v>242</v>
      </c>
      <c r="J318" s="13"/>
      <c r="K318" s="14">
        <v>45783</v>
      </c>
      <c r="L318" s="11"/>
      <c r="M318" s="11"/>
      <c r="T318" s="78" t="str">
        <f t="shared" ca="1" si="142"/>
        <v/>
      </c>
      <c r="U318" s="78" t="str">
        <f t="shared" ca="1" si="143"/>
        <v/>
      </c>
      <c r="V318" s="73">
        <f>3</f>
        <v>3</v>
      </c>
      <c r="W318" s="78"/>
      <c r="X318" s="74" t="s">
        <v>359</v>
      </c>
      <c r="Y318" s="18"/>
      <c r="Z318" s="18"/>
      <c r="AA318" s="18"/>
      <c r="AD318" s="6" t="s">
        <v>35</v>
      </c>
      <c r="AE318" s="19" t="s">
        <v>36</v>
      </c>
    </row>
    <row r="319" spans="1:31" ht="14.4" x14ac:dyDescent="0.3">
      <c r="A319" s="21">
        <v>4792</v>
      </c>
      <c r="B319" s="55" t="s">
        <v>47</v>
      </c>
      <c r="C319" s="8">
        <v>734</v>
      </c>
      <c r="D319" s="92" t="s">
        <v>32</v>
      </c>
      <c r="E319" s="21" t="s">
        <v>33</v>
      </c>
      <c r="F319" s="10">
        <v>45887</v>
      </c>
      <c r="G319" s="10">
        <v>45893</v>
      </c>
      <c r="H319" s="22">
        <v>288</v>
      </c>
      <c r="I319" s="23">
        <v>308</v>
      </c>
      <c r="J319" s="24"/>
      <c r="K319" s="14">
        <v>45902</v>
      </c>
      <c r="L319" s="22"/>
      <c r="M319" s="22"/>
      <c r="T319" s="82" t="str">
        <f t="shared" ca="1" si="142"/>
        <v/>
      </c>
      <c r="U319" s="82" t="str">
        <f t="shared" ca="1" si="143"/>
        <v/>
      </c>
      <c r="V319" s="75">
        <f>14</f>
        <v>14</v>
      </c>
      <c r="W319" s="83" t="s">
        <v>360</v>
      </c>
      <c r="X319" s="83" t="s">
        <v>247</v>
      </c>
      <c r="Y319" s="28"/>
      <c r="Z319" s="28"/>
      <c r="AA319" s="28"/>
      <c r="AD319" s="21" t="s">
        <v>35</v>
      </c>
      <c r="AE319" s="19" t="s">
        <v>36</v>
      </c>
    </row>
    <row r="320" spans="1:31" ht="14.4" x14ac:dyDescent="0.3">
      <c r="A320" s="21">
        <v>4996</v>
      </c>
      <c r="B320" s="37" t="s">
        <v>361</v>
      </c>
      <c r="C320" s="8">
        <v>734</v>
      </c>
      <c r="D320" s="92" t="s">
        <v>76</v>
      </c>
      <c r="E320" s="21" t="s">
        <v>33</v>
      </c>
      <c r="F320" s="38">
        <v>46008</v>
      </c>
      <c r="G320" s="38">
        <v>46008</v>
      </c>
      <c r="H320" s="35">
        <v>27</v>
      </c>
      <c r="I320" s="56">
        <v>27</v>
      </c>
      <c r="J320" s="57"/>
      <c r="K320" s="58">
        <v>46008</v>
      </c>
      <c r="L320" s="35"/>
      <c r="M320" s="35"/>
      <c r="T320" s="82" t="str">
        <f t="shared" ca="1" si="142"/>
        <v/>
      </c>
      <c r="U320" s="82" t="str">
        <f t="shared" ca="1" si="143"/>
        <v/>
      </c>
      <c r="V320" s="82"/>
      <c r="W320" s="82" t="s">
        <v>362</v>
      </c>
      <c r="X320" s="82" t="s">
        <v>87</v>
      </c>
      <c r="Y320" s="28"/>
      <c r="Z320" s="28"/>
      <c r="AA320" s="28"/>
      <c r="AD320" s="21" t="s">
        <v>35</v>
      </c>
      <c r="AE320" s="19" t="s">
        <v>36</v>
      </c>
    </row>
    <row r="321" spans="1:31" ht="14.4" x14ac:dyDescent="0.3">
      <c r="A321" s="21">
        <v>4875</v>
      </c>
      <c r="B321" s="37" t="s">
        <v>37</v>
      </c>
      <c r="C321" s="8">
        <v>736</v>
      </c>
      <c r="D321" s="92" t="s">
        <v>38</v>
      </c>
      <c r="E321" s="21" t="s">
        <v>77</v>
      </c>
      <c r="F321" s="42">
        <v>45949</v>
      </c>
      <c r="G321" s="66">
        <v>45963</v>
      </c>
      <c r="H321" s="25"/>
      <c r="I321" s="39"/>
      <c r="J321" s="40"/>
      <c r="K321" s="14">
        <v>45967</v>
      </c>
      <c r="L321" s="22"/>
      <c r="M321" s="22"/>
      <c r="T321" s="82" t="str">
        <f t="shared" ca="1" si="142"/>
        <v/>
      </c>
      <c r="U321" s="82" t="str">
        <f t="shared" ca="1" si="143"/>
        <v/>
      </c>
      <c r="V321" s="82"/>
      <c r="W321" s="83" t="s">
        <v>363</v>
      </c>
      <c r="X321" s="82"/>
      <c r="Y321" s="28"/>
      <c r="Z321" s="28"/>
      <c r="AA321" s="28"/>
      <c r="AD321" s="21" t="s">
        <v>35</v>
      </c>
      <c r="AE321" s="19" t="s">
        <v>36</v>
      </c>
    </row>
    <row r="322" spans="1:31" ht="14.4" x14ac:dyDescent="0.3">
      <c r="A322" s="6">
        <v>4511</v>
      </c>
      <c r="B322" s="7" t="s">
        <v>47</v>
      </c>
      <c r="C322" s="8">
        <v>738</v>
      </c>
      <c r="D322" s="92" t="s">
        <v>32</v>
      </c>
      <c r="E322" s="6" t="s">
        <v>33</v>
      </c>
      <c r="F322" s="10">
        <v>45663</v>
      </c>
      <c r="G322" s="10">
        <v>45669</v>
      </c>
      <c r="H322" s="11">
        <v>324</v>
      </c>
      <c r="I322" s="12">
        <v>334</v>
      </c>
      <c r="J322" s="13"/>
      <c r="K322" s="36">
        <v>45671</v>
      </c>
      <c r="L322" s="11"/>
      <c r="M322" s="11"/>
      <c r="T322" s="78" t="str">
        <f ca="1">IF(U322="","",IF(U322&lt;=3,"Excellent",IF(U322&lt;=7,"Good",IF(U322&lt;=14,"Average",IF(U322&lt;=30,"Poor",IF(U322&gt;=30,"Bad"))))))</f>
        <v/>
      </c>
      <c r="U322" s="78" t="str">
        <f t="shared" ca="1" si="143"/>
        <v/>
      </c>
      <c r="V322" s="78"/>
      <c r="W322" s="78"/>
      <c r="X322" s="74" t="s">
        <v>34</v>
      </c>
      <c r="Y322" s="18"/>
      <c r="Z322" s="18"/>
      <c r="AA322" s="18"/>
      <c r="AD322" s="6" t="s">
        <v>35</v>
      </c>
      <c r="AE322" s="19" t="s">
        <v>36</v>
      </c>
    </row>
    <row r="323" spans="1:31" ht="14.4" x14ac:dyDescent="0.3">
      <c r="A323" s="21">
        <v>4984</v>
      </c>
      <c r="B323" s="37" t="s">
        <v>364</v>
      </c>
      <c r="C323" s="8">
        <v>738</v>
      </c>
      <c r="D323" s="92" t="s">
        <v>32</v>
      </c>
      <c r="E323" s="21" t="s">
        <v>33</v>
      </c>
      <c r="F323" s="38">
        <v>46020</v>
      </c>
      <c r="G323" s="38">
        <v>46033</v>
      </c>
      <c r="H323" s="22">
        <v>212</v>
      </c>
      <c r="I323" s="23">
        <v>222</v>
      </c>
      <c r="J323" s="24"/>
      <c r="K323" s="14">
        <v>46034</v>
      </c>
      <c r="L323" s="22"/>
      <c r="M323" s="22"/>
      <c r="T323" s="82" t="str">
        <f t="shared" ref="T323:T325" ca="1" si="144">IF($U323="","",IF($U323&lt;=3,"Excellent",IF($U323&lt;=7,"Good",IF($U323&lt;=14,"Average",IF($U323&lt;=30,"Poor",IF($U323&gt;=30,"Bad"))))))</f>
        <v/>
      </c>
      <c r="U323" s="82" t="str">
        <f t="shared" ca="1" si="143"/>
        <v/>
      </c>
      <c r="V323" s="82"/>
      <c r="W323" s="83" t="s">
        <v>110</v>
      </c>
      <c r="X323" s="83" t="s">
        <v>87</v>
      </c>
      <c r="Y323" s="28"/>
      <c r="Z323" s="28"/>
      <c r="AA323" s="28"/>
      <c r="AD323" s="21" t="s">
        <v>35</v>
      </c>
      <c r="AE323" s="19" t="s">
        <v>36</v>
      </c>
    </row>
    <row r="324" spans="1:31" ht="14.4" x14ac:dyDescent="0.3">
      <c r="A324" s="21">
        <v>4787</v>
      </c>
      <c r="B324" s="55" t="s">
        <v>37</v>
      </c>
      <c r="C324" s="8">
        <v>739</v>
      </c>
      <c r="D324" s="92" t="s">
        <v>38</v>
      </c>
      <c r="E324" s="21" t="s">
        <v>33</v>
      </c>
      <c r="F324" s="10">
        <v>45880</v>
      </c>
      <c r="G324" s="10">
        <v>45884</v>
      </c>
      <c r="H324" s="22">
        <v>283</v>
      </c>
      <c r="I324" s="23">
        <v>283</v>
      </c>
      <c r="J324" s="24"/>
      <c r="K324" s="14">
        <v>45887</v>
      </c>
      <c r="L324" s="22"/>
      <c r="M324" s="22"/>
      <c r="T324" s="82" t="str">
        <f t="shared" ca="1" si="144"/>
        <v/>
      </c>
      <c r="U324" s="82" t="str">
        <f t="shared" ca="1" si="143"/>
        <v/>
      </c>
      <c r="V324" s="82"/>
      <c r="W324" s="83" t="s">
        <v>58</v>
      </c>
      <c r="X324" s="83" t="s">
        <v>59</v>
      </c>
      <c r="Y324" s="28"/>
      <c r="Z324" s="28"/>
      <c r="AA324" s="28"/>
      <c r="AD324" s="21" t="s">
        <v>35</v>
      </c>
      <c r="AE324" s="19" t="s">
        <v>36</v>
      </c>
    </row>
    <row r="325" spans="1:31" ht="14.4" x14ac:dyDescent="0.3">
      <c r="A325" s="21">
        <v>4874</v>
      </c>
      <c r="B325" s="37" t="s">
        <v>47</v>
      </c>
      <c r="C325" s="8">
        <v>741</v>
      </c>
      <c r="D325" s="92" t="s">
        <v>32</v>
      </c>
      <c r="E325" s="21" t="s">
        <v>33</v>
      </c>
      <c r="F325" s="42">
        <v>45953</v>
      </c>
      <c r="G325" s="42">
        <v>45954</v>
      </c>
      <c r="H325" s="22">
        <v>160</v>
      </c>
      <c r="I325" s="23">
        <v>160</v>
      </c>
      <c r="J325" s="24"/>
      <c r="K325" s="14">
        <v>45957</v>
      </c>
      <c r="L325" s="22"/>
      <c r="M325" s="22"/>
      <c r="T325" s="82" t="str">
        <f t="shared" ca="1" si="144"/>
        <v/>
      </c>
      <c r="U325" s="82" t="str">
        <f t="shared" ca="1" si="143"/>
        <v/>
      </c>
      <c r="V325" s="82"/>
      <c r="W325" s="83" t="s">
        <v>365</v>
      </c>
      <c r="X325" s="83" t="s">
        <v>87</v>
      </c>
      <c r="Y325" s="28"/>
      <c r="Z325" s="28"/>
      <c r="AA325" s="28"/>
      <c r="AD325" s="21" t="s">
        <v>35</v>
      </c>
      <c r="AE325" s="19" t="s">
        <v>36</v>
      </c>
    </row>
    <row r="326" spans="1:31" ht="14.4" x14ac:dyDescent="0.3">
      <c r="A326" s="21">
        <v>5095</v>
      </c>
      <c r="B326" s="26" t="s">
        <v>366</v>
      </c>
      <c r="C326" s="8">
        <v>745</v>
      </c>
      <c r="D326" s="92" t="s">
        <v>32</v>
      </c>
      <c r="E326" s="6" t="s">
        <v>77</v>
      </c>
      <c r="F326" s="27">
        <v>46085</v>
      </c>
      <c r="G326" s="27">
        <v>46087</v>
      </c>
      <c r="H326" s="29"/>
      <c r="I326" s="30"/>
      <c r="J326" s="21"/>
      <c r="K326" s="31">
        <v>46091</v>
      </c>
      <c r="L326" s="29"/>
      <c r="M326" s="29"/>
      <c r="N326" s="97">
        <v>46091</v>
      </c>
      <c r="O326" s="70"/>
      <c r="P326" s="70"/>
      <c r="Q326" s="71"/>
      <c r="R326" s="71" t="str">
        <f t="shared" ref="R326:R327" si="145">IF(Q326,Q326-K326,"")</f>
        <v/>
      </c>
      <c r="S326" s="71" t="str">
        <f t="shared" ref="S326:S327" si="146">IF(R326="","",IF(R326&lt;=4,"Excellent",IF(R326&lt;=8,"Good",IF(R326&lt;=15,"Average",IF(R326&lt;=30,"Poor",IF(R326&gt;=30,"Bad"))))))</f>
        <v/>
      </c>
      <c r="T326" s="68" t="str">
        <f t="shared" ref="T326:T327" ca="1" si="147">IF(U326="","",IF(U326&lt;=3,"Excellent",IF(U326&lt;=7,"Good",IF(U326&lt;=14,"Average",IF(U326&lt;=30,"Poor",IF(U326&gt;=30,"Bad"))))))</f>
        <v/>
      </c>
      <c r="U326" s="68" t="str">
        <f ca="1">IF(E326="Document", IF(#REF!="", "", TODAY() -#REF!), "")</f>
        <v/>
      </c>
      <c r="V326" s="68">
        <f>1</f>
        <v>1</v>
      </c>
      <c r="W326" s="78" t="s">
        <v>128</v>
      </c>
      <c r="X326" s="78"/>
      <c r="Y326" s="75"/>
      <c r="Z326" s="75"/>
      <c r="AD326" s="21" t="s">
        <v>35</v>
      </c>
      <c r="AE326" s="19" t="s">
        <v>36</v>
      </c>
    </row>
    <row r="327" spans="1:31" ht="14.4" x14ac:dyDescent="0.3">
      <c r="A327" s="21">
        <v>5116</v>
      </c>
      <c r="B327" s="26" t="s">
        <v>367</v>
      </c>
      <c r="C327" s="8">
        <v>745</v>
      </c>
      <c r="D327" s="92" t="s">
        <v>32</v>
      </c>
      <c r="E327" s="21" t="s">
        <v>33</v>
      </c>
      <c r="F327" s="27">
        <v>46113</v>
      </c>
      <c r="G327" s="27">
        <v>46116</v>
      </c>
      <c r="H327" s="29">
        <v>120</v>
      </c>
      <c r="I327" s="30">
        <v>185</v>
      </c>
      <c r="J327" s="21"/>
      <c r="K327" s="31">
        <v>46118</v>
      </c>
      <c r="L327" s="29"/>
      <c r="M327" s="29"/>
      <c r="N327" s="69">
        <v>46118</v>
      </c>
      <c r="O327" s="70"/>
      <c r="P327" s="70"/>
      <c r="Q327" s="71"/>
      <c r="R327" s="71" t="str">
        <f t="shared" si="145"/>
        <v/>
      </c>
      <c r="S327" s="71" t="str">
        <f t="shared" si="146"/>
        <v/>
      </c>
      <c r="T327" s="68" t="str">
        <f t="shared" ca="1" si="147"/>
        <v/>
      </c>
      <c r="U327" s="68" t="str">
        <f ca="1">IF(E327="Document", IF(#REF!="", "", TODAY() -#REF!), "")</f>
        <v/>
      </c>
      <c r="V327" s="68">
        <f>2</f>
        <v>2</v>
      </c>
      <c r="W327" s="78" t="s">
        <v>368</v>
      </c>
      <c r="X327" s="78" t="s">
        <v>368</v>
      </c>
      <c r="Y327" s="75"/>
      <c r="Z327" s="75"/>
      <c r="AD327" s="21" t="s">
        <v>35</v>
      </c>
      <c r="AE327" s="19" t="s">
        <v>36</v>
      </c>
    </row>
    <row r="328" spans="1:31" ht="14.4" x14ac:dyDescent="0.3">
      <c r="A328" s="6">
        <v>4594</v>
      </c>
      <c r="B328" s="7" t="s">
        <v>369</v>
      </c>
      <c r="C328" s="8">
        <v>745</v>
      </c>
      <c r="D328" s="92" t="s">
        <v>57</v>
      </c>
      <c r="E328" s="6" t="s">
        <v>33</v>
      </c>
      <c r="F328" s="10">
        <v>45719</v>
      </c>
      <c r="G328" s="10">
        <v>45719</v>
      </c>
      <c r="H328" s="11">
        <v>10</v>
      </c>
      <c r="I328" s="12">
        <v>20</v>
      </c>
      <c r="J328" s="13"/>
      <c r="K328" s="36">
        <v>45720</v>
      </c>
      <c r="L328" s="11"/>
      <c r="M328" s="11"/>
      <c r="T328" s="78" t="str">
        <f t="shared" ref="T328:T330" ca="1" si="148">IF($U328="","",IF($U328&lt;=3,"Excellent",IF($U328&lt;=7,"Good",IF($U328&lt;=14,"Average",IF($U328&lt;=30,"Poor",IF($U328&gt;=30,"Bad"))))))</f>
        <v/>
      </c>
      <c r="U328" s="78" t="str">
        <f t="shared" ref="U328:U330" ca="1" si="149">IF(E328="Document", IF(G328="", "", TODAY() - G328), "")</f>
        <v/>
      </c>
      <c r="V328" s="78"/>
      <c r="W328" s="78"/>
      <c r="X328" s="74" t="s">
        <v>34</v>
      </c>
      <c r="Y328" s="18"/>
      <c r="Z328" s="18"/>
      <c r="AA328" s="18"/>
      <c r="AD328" s="6" t="s">
        <v>35</v>
      </c>
      <c r="AE328" s="19" t="s">
        <v>36</v>
      </c>
    </row>
    <row r="329" spans="1:31" ht="14.4" x14ac:dyDescent="0.3">
      <c r="A329" s="21">
        <v>4869</v>
      </c>
      <c r="B329" s="55" t="s">
        <v>255</v>
      </c>
      <c r="C329" s="8">
        <v>745</v>
      </c>
      <c r="D329" s="92" t="s">
        <v>76</v>
      </c>
      <c r="E329" s="21" t="s">
        <v>33</v>
      </c>
      <c r="F329" s="64">
        <v>45897</v>
      </c>
      <c r="G329" s="64">
        <v>45897</v>
      </c>
      <c r="H329" s="22">
        <v>27</v>
      </c>
      <c r="I329" s="23">
        <v>27</v>
      </c>
      <c r="J329" s="24"/>
      <c r="K329" s="14">
        <v>45897</v>
      </c>
      <c r="L329" s="22"/>
      <c r="M329" s="22"/>
      <c r="T329" s="82" t="str">
        <f t="shared" ca="1" si="148"/>
        <v/>
      </c>
      <c r="U329" s="82" t="str">
        <f t="shared" ca="1" si="149"/>
        <v/>
      </c>
      <c r="V329" s="75">
        <f>2</f>
        <v>2</v>
      </c>
      <c r="W329" s="82"/>
      <c r="X329" s="83" t="s">
        <v>297</v>
      </c>
      <c r="Y329" s="28"/>
      <c r="Z329" s="28"/>
      <c r="AA329" s="28"/>
      <c r="AD329" s="21" t="s">
        <v>35</v>
      </c>
      <c r="AE329" s="19" t="s">
        <v>36</v>
      </c>
    </row>
    <row r="330" spans="1:31" ht="14.4" x14ac:dyDescent="0.3">
      <c r="A330" s="21">
        <v>4778</v>
      </c>
      <c r="B330" s="55" t="s">
        <v>370</v>
      </c>
      <c r="C330" s="8">
        <v>746</v>
      </c>
      <c r="D330" s="92" t="s">
        <v>38</v>
      </c>
      <c r="E330" s="21" t="s">
        <v>33</v>
      </c>
      <c r="F330" s="10">
        <v>45887</v>
      </c>
      <c r="G330" s="10">
        <v>45893</v>
      </c>
      <c r="H330" s="22">
        <v>332</v>
      </c>
      <c r="I330" s="23">
        <v>357</v>
      </c>
      <c r="J330" s="24"/>
      <c r="K330" s="14">
        <v>45894</v>
      </c>
      <c r="L330" s="22"/>
      <c r="M330" s="22"/>
      <c r="T330" s="82" t="str">
        <f t="shared" ca="1" si="148"/>
        <v/>
      </c>
      <c r="U330" s="82" t="str">
        <f t="shared" ca="1" si="149"/>
        <v/>
      </c>
      <c r="V330" s="82"/>
      <c r="W330" s="83" t="s">
        <v>371</v>
      </c>
      <c r="X330" s="83" t="s">
        <v>372</v>
      </c>
      <c r="Y330" s="28"/>
      <c r="Z330" s="28"/>
      <c r="AA330" s="28"/>
      <c r="AD330" s="21" t="s">
        <v>35</v>
      </c>
      <c r="AE330" s="19" t="s">
        <v>36</v>
      </c>
    </row>
    <row r="331" spans="1:31" ht="14.4" x14ac:dyDescent="0.3">
      <c r="A331" s="21">
        <v>5074</v>
      </c>
      <c r="B331" s="26" t="s">
        <v>373</v>
      </c>
      <c r="C331" s="8">
        <v>747</v>
      </c>
      <c r="D331" s="92" t="s">
        <v>57</v>
      </c>
      <c r="E331" s="59" t="s">
        <v>33</v>
      </c>
      <c r="F331" s="27">
        <v>46071</v>
      </c>
      <c r="G331" s="27">
        <v>46071</v>
      </c>
      <c r="H331" s="29">
        <v>65</v>
      </c>
      <c r="I331" s="30">
        <v>120</v>
      </c>
      <c r="J331" s="21"/>
      <c r="K331" s="31">
        <v>46078</v>
      </c>
      <c r="L331" s="29"/>
      <c r="M331" s="29"/>
      <c r="N331" s="69">
        <v>46078</v>
      </c>
      <c r="O331" s="70"/>
      <c r="P331" s="70"/>
      <c r="Q331" s="71"/>
      <c r="R331" s="71" t="str">
        <f>IF(Q331,Q331-K331,"")</f>
        <v/>
      </c>
      <c r="S331" s="71" t="str">
        <f>IF(R331="","",IF(R331&lt;=4,"Excellent",IF(R331&lt;=8,"Good",IF(R331&lt;=15,"Average",IF(R331&lt;=30,"Poor",IF(R331&gt;=30,"Bad"))))))</f>
        <v/>
      </c>
      <c r="T331" s="68" t="str">
        <f ca="1">IF(U331="","",IF(U331&lt;=3,"Excellent",IF(U331&lt;=7,"Good",IF(U331&lt;=14,"Average",IF(U331&lt;=30,"Poor",IF(U331&gt;=30,"Bad"))))))</f>
        <v/>
      </c>
      <c r="U331" s="68" t="str">
        <f ca="1">IF(E331="Document", IF(#REF!="", "", TODAY() -#REF!), "")</f>
        <v/>
      </c>
      <c r="V331" s="68"/>
      <c r="W331" s="78" t="s">
        <v>374</v>
      </c>
      <c r="X331" s="78" t="s">
        <v>53</v>
      </c>
      <c r="Y331" s="75"/>
      <c r="Z331" s="75"/>
      <c r="AD331" s="21" t="s">
        <v>35</v>
      </c>
      <c r="AE331" s="19" t="s">
        <v>36</v>
      </c>
    </row>
    <row r="332" spans="1:31" ht="14.4" x14ac:dyDescent="0.3">
      <c r="A332" s="21">
        <v>4810</v>
      </c>
      <c r="B332" s="55" t="s">
        <v>47</v>
      </c>
      <c r="C332" s="8">
        <v>750</v>
      </c>
      <c r="D332" s="92" t="s">
        <v>38</v>
      </c>
      <c r="E332" s="21" t="s">
        <v>33</v>
      </c>
      <c r="F332" s="10">
        <v>45899</v>
      </c>
      <c r="G332" s="10">
        <v>45914</v>
      </c>
      <c r="H332" s="22">
        <v>338</v>
      </c>
      <c r="I332" s="23">
        <v>338</v>
      </c>
      <c r="J332" s="24"/>
      <c r="K332" s="14">
        <v>45914</v>
      </c>
      <c r="L332" s="22"/>
      <c r="M332" s="22"/>
      <c r="T332" s="82" t="str">
        <f ca="1">IF($U332="","",IF($U332&lt;=3,"Excellent",IF($U332&lt;=7,"Good",IF($U332&lt;=14,"Average",IF($U332&lt;=30,"Poor",IF($U332&gt;=30,"Bad"))))))</f>
        <v/>
      </c>
      <c r="U332" s="82" t="str">
        <f ca="1">IF(E332="Document", IF(G332="", "", TODAY() - G332), "")</f>
        <v/>
      </c>
      <c r="V332" s="75">
        <f>31</f>
        <v>31</v>
      </c>
      <c r="W332" s="83" t="s">
        <v>214</v>
      </c>
      <c r="X332" s="83" t="s">
        <v>59</v>
      </c>
      <c r="Y332" s="28"/>
      <c r="Z332" s="28"/>
      <c r="AA332" s="28"/>
      <c r="AD332" s="21" t="s">
        <v>35</v>
      </c>
      <c r="AE332" s="19" t="s">
        <v>36</v>
      </c>
    </row>
    <row r="333" spans="1:31" ht="14.4" x14ac:dyDescent="0.3">
      <c r="A333" s="21">
        <v>5126</v>
      </c>
      <c r="B333" s="26" t="s">
        <v>47</v>
      </c>
      <c r="C333" s="8">
        <v>751</v>
      </c>
      <c r="D333" s="92" t="s">
        <v>32</v>
      </c>
      <c r="E333" s="21" t="s">
        <v>62</v>
      </c>
      <c r="F333" s="27">
        <v>46127</v>
      </c>
      <c r="G333" s="27">
        <v>46133</v>
      </c>
      <c r="H333" s="29"/>
      <c r="I333" s="30"/>
      <c r="J333" s="21"/>
      <c r="K333" s="48"/>
      <c r="L333" s="29"/>
      <c r="M333" s="29"/>
      <c r="N333" s="69"/>
      <c r="O333" s="70"/>
      <c r="P333" s="70"/>
      <c r="Q333" s="71"/>
      <c r="R333" s="71" t="str">
        <f>IF(Q333,Q333-K333,"")</f>
        <v/>
      </c>
      <c r="S333" s="71" t="str">
        <f>IF(R333="","",IF(R333&lt;=4,"Excellent",IF(R333&lt;=8,"Good",IF(R333&lt;=15,"Average",IF(R333&lt;=30,"Poor",IF(R333&gt;=30,"Bad"))))))</f>
        <v/>
      </c>
      <c r="T333" s="72"/>
      <c r="U333" s="73"/>
      <c r="V333" s="73"/>
      <c r="W333" s="74"/>
      <c r="X333" s="74"/>
      <c r="Y333" s="75"/>
      <c r="Z333" s="75"/>
      <c r="AD333" s="21" t="s">
        <v>35</v>
      </c>
      <c r="AE333" s="19" t="s">
        <v>36</v>
      </c>
    </row>
    <row r="334" spans="1:31" ht="14.4" x14ac:dyDescent="0.3">
      <c r="A334" s="21">
        <v>4750</v>
      </c>
      <c r="B334" s="7" t="s">
        <v>375</v>
      </c>
      <c r="C334" s="8">
        <v>755</v>
      </c>
      <c r="D334" s="92" t="s">
        <v>76</v>
      </c>
      <c r="E334" s="21" t="s">
        <v>33</v>
      </c>
      <c r="F334" s="10">
        <v>45856</v>
      </c>
      <c r="G334" s="10">
        <v>45856</v>
      </c>
      <c r="H334" s="22">
        <v>11</v>
      </c>
      <c r="I334" s="23">
        <v>11</v>
      </c>
      <c r="J334" s="24"/>
      <c r="K334" s="14">
        <v>45856</v>
      </c>
      <c r="L334" s="22"/>
      <c r="M334" s="22"/>
      <c r="T334" s="82" t="str">
        <f ca="1">IF($U334="","",IF($U334&lt;=3,"Excellent",IF($U334&lt;=7,"Good",IF($U334&lt;=14,"Average",IF($U334&lt;=30,"Poor",IF($U334&gt;=30,"Bad"))))))</f>
        <v/>
      </c>
      <c r="U334" s="82" t="str">
        <f ca="1">IF(E334="Document", IF(G334="", "", TODAY() - G334), "")</f>
        <v/>
      </c>
      <c r="V334" s="82"/>
      <c r="W334" s="83" t="s">
        <v>376</v>
      </c>
      <c r="X334" s="83" t="s">
        <v>273</v>
      </c>
      <c r="Y334" s="28"/>
      <c r="Z334" s="28"/>
      <c r="AA334" s="28"/>
      <c r="AD334" s="21" t="s">
        <v>35</v>
      </c>
      <c r="AE334" s="19" t="s">
        <v>36</v>
      </c>
    </row>
    <row r="335" spans="1:31" ht="14.4" x14ac:dyDescent="0.3">
      <c r="A335" s="21">
        <v>5056</v>
      </c>
      <c r="B335" s="26" t="s">
        <v>377</v>
      </c>
      <c r="C335" s="8">
        <v>757</v>
      </c>
      <c r="D335" s="92" t="s">
        <v>38</v>
      </c>
      <c r="E335" s="59" t="s">
        <v>33</v>
      </c>
      <c r="F335" s="27">
        <v>46057</v>
      </c>
      <c r="G335" s="27">
        <v>46068</v>
      </c>
      <c r="H335" s="29">
        <v>10</v>
      </c>
      <c r="I335" s="30">
        <v>15</v>
      </c>
      <c r="J335" s="21"/>
      <c r="K335" s="31">
        <v>46069</v>
      </c>
      <c r="L335" s="29"/>
      <c r="M335" s="29"/>
      <c r="N335" s="69">
        <v>46069</v>
      </c>
      <c r="O335" s="70"/>
      <c r="P335" s="70"/>
      <c r="Q335" s="71"/>
      <c r="R335" s="71" t="str">
        <f t="shared" ref="R335:R336" si="150">IF(Q335,Q335-K335,"")</f>
        <v/>
      </c>
      <c r="S335" s="71" t="str">
        <f t="shared" ref="S335:S336" si="151">IF(R335="","",IF(R335&lt;=4,"Excellent",IF(R335&lt;=8,"Good",IF(R335&lt;=15,"Average",IF(R335&lt;=30,"Poor",IF(R335&gt;=30,"Bad"))))))</f>
        <v/>
      </c>
      <c r="T335" s="68" t="str">
        <f ca="1">IF(U335="","",IF(U335&lt;=3,"Excellent",IF(U335&lt;=7,"Good",IF(U335&lt;=14,"Average",IF(U335&lt;=30,"Poor",IF(U335&gt;=30,"Bad"))))))</f>
        <v/>
      </c>
      <c r="U335" s="68" t="str">
        <f ca="1">IF(E335="Document", IF(#REF!="", "", TODAY() -#REF!), "")</f>
        <v/>
      </c>
      <c r="V335" s="68">
        <f>7</f>
        <v>7</v>
      </c>
      <c r="W335" s="78" t="s">
        <v>211</v>
      </c>
      <c r="X335" s="78" t="s">
        <v>141</v>
      </c>
      <c r="Y335" s="75"/>
      <c r="Z335" s="75"/>
      <c r="AD335" s="21" t="s">
        <v>35</v>
      </c>
      <c r="AE335" s="19" t="s">
        <v>36</v>
      </c>
    </row>
    <row r="336" spans="1:31" ht="14.4" x14ac:dyDescent="0.3">
      <c r="A336" s="21">
        <v>5130</v>
      </c>
      <c r="B336" s="26" t="s">
        <v>378</v>
      </c>
      <c r="C336" s="8">
        <v>757</v>
      </c>
      <c r="D336" s="92" t="s">
        <v>32</v>
      </c>
      <c r="E336" s="21" t="s">
        <v>62</v>
      </c>
      <c r="F336" s="27">
        <v>46132</v>
      </c>
      <c r="G336" s="27">
        <v>46138</v>
      </c>
      <c r="H336" s="29"/>
      <c r="I336" s="30"/>
      <c r="J336" s="21"/>
      <c r="K336" s="48"/>
      <c r="L336" s="29"/>
      <c r="M336" s="29"/>
      <c r="N336" s="69"/>
      <c r="O336" s="70"/>
      <c r="P336" s="70"/>
      <c r="Q336" s="71"/>
      <c r="R336" s="71" t="str">
        <f t="shared" si="150"/>
        <v/>
      </c>
      <c r="S336" s="71" t="str">
        <f t="shared" si="151"/>
        <v/>
      </c>
      <c r="T336" s="72"/>
      <c r="U336" s="73"/>
      <c r="V336" s="73"/>
      <c r="W336" s="74"/>
      <c r="X336" s="74"/>
      <c r="Y336" s="75"/>
      <c r="Z336" s="75"/>
      <c r="AD336" s="21" t="s">
        <v>35</v>
      </c>
      <c r="AE336" s="19" t="s">
        <v>36</v>
      </c>
    </row>
    <row r="337" spans="1:31" ht="14.4" x14ac:dyDescent="0.3">
      <c r="A337" s="6">
        <v>4696</v>
      </c>
      <c r="B337" s="7" t="s">
        <v>379</v>
      </c>
      <c r="C337" s="8">
        <v>757</v>
      </c>
      <c r="D337" s="92" t="s">
        <v>76</v>
      </c>
      <c r="E337" s="6" t="s">
        <v>33</v>
      </c>
      <c r="F337" s="10">
        <v>45748</v>
      </c>
      <c r="G337" s="10">
        <v>45748</v>
      </c>
      <c r="H337" s="11">
        <v>27</v>
      </c>
      <c r="I337" s="12">
        <v>27</v>
      </c>
      <c r="J337" s="13"/>
      <c r="K337" s="14">
        <v>45821</v>
      </c>
      <c r="L337" s="11"/>
      <c r="M337" s="11"/>
      <c r="T337" s="78" t="str">
        <f t="shared" ref="T337:T345" ca="1" si="152">IF($U337="","",IF($U337&lt;=3,"Excellent",IF($U337&lt;=7,"Good",IF($U337&lt;=14,"Average",IF($U337&lt;=30,"Poor",IF($U337&gt;=30,"Bad"))))))</f>
        <v/>
      </c>
      <c r="U337" s="78" t="str">
        <f t="shared" ref="U337:U345" ca="1" si="153">IF(E337="Document", IF(G337="", "", TODAY() - G337), "")</f>
        <v/>
      </c>
      <c r="V337" s="78"/>
      <c r="W337" s="78"/>
      <c r="X337" s="74" t="s">
        <v>34</v>
      </c>
      <c r="Y337" s="18"/>
      <c r="Z337" s="18"/>
      <c r="AA337" s="18"/>
      <c r="AD337" s="6" t="s">
        <v>35</v>
      </c>
      <c r="AE337" s="19" t="s">
        <v>36</v>
      </c>
    </row>
    <row r="338" spans="1:31" ht="14.4" x14ac:dyDescent="0.3">
      <c r="A338" s="21">
        <v>4825</v>
      </c>
      <c r="B338" s="55" t="s">
        <v>47</v>
      </c>
      <c r="C338" s="8">
        <v>757</v>
      </c>
      <c r="D338" s="92" t="s">
        <v>32</v>
      </c>
      <c r="E338" s="21" t="s">
        <v>46</v>
      </c>
      <c r="F338" s="10">
        <v>45912</v>
      </c>
      <c r="G338" s="10">
        <v>45918</v>
      </c>
      <c r="H338" s="25"/>
      <c r="I338" s="39"/>
      <c r="J338" s="40"/>
      <c r="K338" s="41"/>
      <c r="L338" s="22"/>
      <c r="M338" s="22"/>
      <c r="T338" s="81" t="str">
        <f t="shared" ca="1" si="152"/>
        <v>Bad</v>
      </c>
      <c r="U338" s="75">
        <f t="shared" ca="1" si="153"/>
        <v>217</v>
      </c>
      <c r="V338" s="75">
        <f>27</f>
        <v>27</v>
      </c>
      <c r="W338" s="82"/>
      <c r="X338" s="82"/>
      <c r="Y338" s="28"/>
      <c r="Z338" s="28"/>
      <c r="AA338" s="28"/>
      <c r="AD338" s="21" t="s">
        <v>35</v>
      </c>
      <c r="AE338" s="19" t="s">
        <v>36</v>
      </c>
    </row>
    <row r="339" spans="1:31" ht="14.4" x14ac:dyDescent="0.3">
      <c r="A339" s="6">
        <v>4553</v>
      </c>
      <c r="B339" s="7" t="s">
        <v>380</v>
      </c>
      <c r="C339" s="8">
        <v>758</v>
      </c>
      <c r="D339" s="92" t="s">
        <v>76</v>
      </c>
      <c r="E339" s="6" t="s">
        <v>77</v>
      </c>
      <c r="F339" s="10">
        <v>45694</v>
      </c>
      <c r="G339" s="10">
        <v>45696</v>
      </c>
      <c r="H339" s="16"/>
      <c r="I339" s="53"/>
      <c r="J339" s="54"/>
      <c r="K339" s="14">
        <v>45696</v>
      </c>
      <c r="L339" s="11"/>
      <c r="M339" s="11"/>
      <c r="T339" s="78" t="str">
        <f t="shared" ca="1" si="152"/>
        <v/>
      </c>
      <c r="U339" s="78" t="str">
        <f t="shared" ca="1" si="153"/>
        <v/>
      </c>
      <c r="V339" s="73">
        <f t="shared" ref="V339:V340" si="154">12</f>
        <v>12</v>
      </c>
      <c r="W339" s="74" t="s">
        <v>381</v>
      </c>
      <c r="X339" s="78"/>
      <c r="Y339" s="18"/>
      <c r="Z339" s="18"/>
      <c r="AA339" s="18"/>
      <c r="AD339" s="6" t="s">
        <v>35</v>
      </c>
      <c r="AE339" s="19" t="s">
        <v>36</v>
      </c>
    </row>
    <row r="340" spans="1:31" ht="14.4" x14ac:dyDescent="0.3">
      <c r="A340" s="6">
        <v>4567</v>
      </c>
      <c r="B340" s="7" t="s">
        <v>382</v>
      </c>
      <c r="C340" s="8">
        <v>758</v>
      </c>
      <c r="D340" s="92" t="s">
        <v>32</v>
      </c>
      <c r="E340" s="6" t="s">
        <v>77</v>
      </c>
      <c r="F340" s="10">
        <v>45705</v>
      </c>
      <c r="G340" s="10">
        <v>45709</v>
      </c>
      <c r="H340" s="16"/>
      <c r="I340" s="53"/>
      <c r="J340" s="54"/>
      <c r="K340" s="14">
        <v>45709</v>
      </c>
      <c r="L340" s="11"/>
      <c r="M340" s="11"/>
      <c r="T340" s="78" t="str">
        <f t="shared" ca="1" si="152"/>
        <v/>
      </c>
      <c r="U340" s="78" t="str">
        <f t="shared" ca="1" si="153"/>
        <v/>
      </c>
      <c r="V340" s="73">
        <f t="shared" si="154"/>
        <v>12</v>
      </c>
      <c r="W340" s="74" t="s">
        <v>381</v>
      </c>
      <c r="X340" s="78"/>
      <c r="Y340" s="18"/>
      <c r="Z340" s="18"/>
      <c r="AA340" s="18"/>
      <c r="AD340" s="6" t="s">
        <v>35</v>
      </c>
      <c r="AE340" s="19" t="s">
        <v>36</v>
      </c>
    </row>
    <row r="341" spans="1:31" ht="14.4" x14ac:dyDescent="0.3">
      <c r="A341" s="21">
        <v>4951</v>
      </c>
      <c r="B341" s="37" t="s">
        <v>383</v>
      </c>
      <c r="C341" s="8">
        <v>758</v>
      </c>
      <c r="D341" s="92" t="s">
        <v>32</v>
      </c>
      <c r="E341" s="21" t="s">
        <v>77</v>
      </c>
      <c r="F341" s="38">
        <v>45999</v>
      </c>
      <c r="G341" s="38">
        <v>46001</v>
      </c>
      <c r="H341" s="25"/>
      <c r="I341" s="39"/>
      <c r="J341" s="40"/>
      <c r="K341" s="14">
        <v>46002</v>
      </c>
      <c r="L341" s="22"/>
      <c r="M341" s="22"/>
      <c r="T341" s="82" t="str">
        <f t="shared" ca="1" si="152"/>
        <v/>
      </c>
      <c r="U341" s="82" t="str">
        <f t="shared" ca="1" si="153"/>
        <v/>
      </c>
      <c r="V341" s="82"/>
      <c r="W341" s="83" t="s">
        <v>384</v>
      </c>
      <c r="X341" s="82"/>
      <c r="Y341" s="28"/>
      <c r="Z341" s="28"/>
      <c r="AA341" s="28"/>
      <c r="AD341" s="21" t="s">
        <v>35</v>
      </c>
      <c r="AE341" s="19" t="s">
        <v>36</v>
      </c>
    </row>
    <row r="342" spans="1:31" ht="14.4" x14ac:dyDescent="0.3">
      <c r="A342" s="21">
        <v>4951</v>
      </c>
      <c r="B342" s="37" t="s">
        <v>383</v>
      </c>
      <c r="C342" s="8">
        <v>758</v>
      </c>
      <c r="D342" s="92" t="s">
        <v>32</v>
      </c>
      <c r="E342" s="21" t="s">
        <v>77</v>
      </c>
      <c r="F342" s="38">
        <v>45999</v>
      </c>
      <c r="G342" s="38">
        <v>46001</v>
      </c>
      <c r="H342" s="25"/>
      <c r="I342" s="39"/>
      <c r="J342" s="40"/>
      <c r="K342" s="14">
        <v>46002</v>
      </c>
      <c r="L342" s="22"/>
      <c r="M342" s="22"/>
      <c r="T342" s="82" t="str">
        <f t="shared" ca="1" si="152"/>
        <v/>
      </c>
      <c r="U342" s="82" t="str">
        <f t="shared" ca="1" si="153"/>
        <v/>
      </c>
      <c r="V342" s="82"/>
      <c r="W342" s="83" t="s">
        <v>384</v>
      </c>
      <c r="X342" s="82"/>
      <c r="Y342" s="28"/>
      <c r="Z342" s="28"/>
      <c r="AA342" s="28"/>
      <c r="AD342" s="21" t="s">
        <v>35</v>
      </c>
      <c r="AE342" s="19" t="s">
        <v>36</v>
      </c>
    </row>
    <row r="343" spans="1:31" ht="14.4" x14ac:dyDescent="0.3">
      <c r="A343" s="21">
        <v>4856</v>
      </c>
      <c r="B343" s="37" t="s">
        <v>47</v>
      </c>
      <c r="C343" s="8">
        <v>760</v>
      </c>
      <c r="D343" s="92" t="s">
        <v>32</v>
      </c>
      <c r="E343" s="21" t="s">
        <v>46</v>
      </c>
      <c r="F343" s="66">
        <v>45936</v>
      </c>
      <c r="G343" s="66">
        <v>45942</v>
      </c>
      <c r="H343" s="25"/>
      <c r="I343" s="39"/>
      <c r="J343" s="40"/>
      <c r="K343" s="41"/>
      <c r="L343" s="25"/>
      <c r="M343" s="25"/>
      <c r="T343" s="81" t="str">
        <f t="shared" ca="1" si="152"/>
        <v>Bad</v>
      </c>
      <c r="U343" s="75">
        <f t="shared" ca="1" si="153"/>
        <v>193</v>
      </c>
      <c r="V343" s="75">
        <f>9</f>
        <v>9</v>
      </c>
      <c r="W343" s="82"/>
      <c r="X343" s="82"/>
      <c r="Y343" s="28"/>
      <c r="Z343" s="28"/>
      <c r="AA343" s="28"/>
      <c r="AD343" s="21" t="s">
        <v>35</v>
      </c>
      <c r="AE343" s="19" t="s">
        <v>36</v>
      </c>
    </row>
    <row r="344" spans="1:31" ht="14.4" x14ac:dyDescent="0.3">
      <c r="A344" s="21">
        <v>4832</v>
      </c>
      <c r="B344" s="55" t="s">
        <v>385</v>
      </c>
      <c r="C344" s="8">
        <v>762</v>
      </c>
      <c r="D344" s="92" t="s">
        <v>38</v>
      </c>
      <c r="E344" s="21" t="s">
        <v>33</v>
      </c>
      <c r="F344" s="10">
        <v>45915</v>
      </c>
      <c r="G344" s="10">
        <v>45915</v>
      </c>
      <c r="H344" s="22">
        <v>10</v>
      </c>
      <c r="I344" s="23">
        <v>20</v>
      </c>
      <c r="J344" s="24"/>
      <c r="K344" s="14">
        <v>45916</v>
      </c>
      <c r="L344" s="22"/>
      <c r="M344" s="22"/>
      <c r="T344" s="82" t="str">
        <f t="shared" ca="1" si="152"/>
        <v/>
      </c>
      <c r="U344" s="82" t="str">
        <f t="shared" ca="1" si="153"/>
        <v/>
      </c>
      <c r="V344" s="82"/>
      <c r="W344" s="83" t="s">
        <v>173</v>
      </c>
      <c r="X344" s="83" t="s">
        <v>59</v>
      </c>
      <c r="Y344" s="28"/>
      <c r="Z344" s="28"/>
      <c r="AA344" s="28"/>
      <c r="AD344" s="21" t="s">
        <v>35</v>
      </c>
      <c r="AE344" s="19" t="s">
        <v>36</v>
      </c>
    </row>
    <row r="345" spans="1:31" ht="14.4" x14ac:dyDescent="0.3">
      <c r="A345" s="21">
        <v>4935</v>
      </c>
      <c r="B345" s="37" t="s">
        <v>386</v>
      </c>
      <c r="C345" s="8">
        <v>762</v>
      </c>
      <c r="D345" s="92" t="s">
        <v>57</v>
      </c>
      <c r="E345" s="21" t="s">
        <v>33</v>
      </c>
      <c r="F345" s="42">
        <v>45982</v>
      </c>
      <c r="G345" s="42">
        <v>45982</v>
      </c>
      <c r="H345" s="22">
        <v>10</v>
      </c>
      <c r="I345" s="23">
        <v>15</v>
      </c>
      <c r="J345" s="24"/>
      <c r="K345" s="14">
        <v>45982</v>
      </c>
      <c r="L345" s="22"/>
      <c r="M345" s="22"/>
      <c r="T345" s="82" t="str">
        <f t="shared" ca="1" si="152"/>
        <v/>
      </c>
      <c r="U345" s="82" t="str">
        <f t="shared" ca="1" si="153"/>
        <v/>
      </c>
      <c r="V345" s="82"/>
      <c r="W345" s="83" t="s">
        <v>186</v>
      </c>
      <c r="X345" s="83" t="s">
        <v>342</v>
      </c>
      <c r="Y345" s="28"/>
      <c r="Z345" s="28"/>
      <c r="AA345" s="28"/>
      <c r="AD345" s="21" t="s">
        <v>35</v>
      </c>
      <c r="AE345" s="19" t="s">
        <v>36</v>
      </c>
    </row>
    <row r="346" spans="1:31" ht="14.4" x14ac:dyDescent="0.3">
      <c r="A346" s="21">
        <v>5017</v>
      </c>
      <c r="B346" s="26" t="s">
        <v>111</v>
      </c>
      <c r="C346" s="8">
        <v>768</v>
      </c>
      <c r="D346" s="92" t="s">
        <v>76</v>
      </c>
      <c r="E346" s="6" t="s">
        <v>33</v>
      </c>
      <c r="F346" s="27">
        <v>46035</v>
      </c>
      <c r="G346" s="27">
        <v>46035</v>
      </c>
      <c r="H346" s="29">
        <v>27</v>
      </c>
      <c r="I346" s="30">
        <v>27</v>
      </c>
      <c r="J346" s="21"/>
      <c r="K346" s="31">
        <v>46041</v>
      </c>
      <c r="L346" s="29"/>
      <c r="M346" s="29"/>
      <c r="N346" s="69">
        <v>46041</v>
      </c>
      <c r="O346" s="70"/>
      <c r="P346" s="70"/>
      <c r="Q346" s="71"/>
      <c r="R346" s="71" t="str">
        <f>IF(Q346,Q346-K346,"")</f>
        <v/>
      </c>
      <c r="S346" s="71" t="str">
        <f>IF(R346="","",IF(R346&lt;=4,"Excellent",IF(R346&lt;=8,"Good",IF(R346&lt;=15,"Average",IF(R346&lt;=30,"Poor",IF(R346&gt;=30,"Bad"))))))</f>
        <v/>
      </c>
      <c r="T346" s="68" t="str">
        <f ca="1">IF(U346="","",IF(U346&lt;=3,"Excellent",IF(U346&lt;=7,"Good",IF(U346&lt;=14,"Average",IF(U346&lt;=30,"Poor",IF(U346&gt;=30,"Bad"))))))</f>
        <v/>
      </c>
      <c r="U346" s="68" t="str">
        <f ca="1">IF(E346="Document", IF(#REF!="", "", TODAY() -#REF!), "")</f>
        <v/>
      </c>
      <c r="V346" s="68"/>
      <c r="W346" s="78" t="s">
        <v>92</v>
      </c>
      <c r="X346" s="78" t="s">
        <v>93</v>
      </c>
      <c r="Y346" s="75"/>
      <c r="Z346" s="75"/>
      <c r="AD346" s="21" t="s">
        <v>35</v>
      </c>
      <c r="AE346" s="19" t="s">
        <v>36</v>
      </c>
    </row>
    <row r="347" spans="1:31" ht="14.4" x14ac:dyDescent="0.3">
      <c r="A347" s="6">
        <v>4537</v>
      </c>
      <c r="B347" s="7" t="s">
        <v>215</v>
      </c>
      <c r="C347" s="8">
        <v>768</v>
      </c>
      <c r="D347" s="92" t="s">
        <v>76</v>
      </c>
      <c r="E347" s="6" t="s">
        <v>33</v>
      </c>
      <c r="F347" s="10">
        <v>45680</v>
      </c>
      <c r="G347" s="10">
        <v>45681</v>
      </c>
      <c r="H347" s="16"/>
      <c r="I347" s="53"/>
      <c r="J347" s="54"/>
      <c r="K347" s="36">
        <v>45681</v>
      </c>
      <c r="L347" s="11"/>
      <c r="M347" s="11"/>
      <c r="T347" s="78" t="str">
        <f t="shared" ref="T347:T350" ca="1" si="155">IF($U347="","",IF($U347&lt;=3,"Excellent",IF($U347&lt;=7,"Good",IF($U347&lt;=14,"Average",IF($U347&lt;=30,"Poor",IF($U347&gt;=30,"Bad"))))))</f>
        <v/>
      </c>
      <c r="U347" s="78" t="str">
        <f t="shared" ref="U347:U350" ca="1" si="156">IF(E347="Document", IF(G347="", "", TODAY() - G347), "")</f>
        <v/>
      </c>
      <c r="V347" s="78"/>
      <c r="W347" s="78"/>
      <c r="X347" s="74" t="s">
        <v>34</v>
      </c>
      <c r="Y347" s="18"/>
      <c r="Z347" s="18"/>
      <c r="AA347" s="18"/>
      <c r="AD347" s="6" t="s">
        <v>35</v>
      </c>
      <c r="AE347" s="19" t="s">
        <v>36</v>
      </c>
    </row>
    <row r="348" spans="1:31" ht="14.4" x14ac:dyDescent="0.3">
      <c r="A348" s="21">
        <v>4726</v>
      </c>
      <c r="B348" s="7" t="s">
        <v>37</v>
      </c>
      <c r="C348" s="8">
        <v>768</v>
      </c>
      <c r="D348" s="92" t="s">
        <v>38</v>
      </c>
      <c r="E348" s="21" t="s">
        <v>33</v>
      </c>
      <c r="F348" s="10">
        <v>45866</v>
      </c>
      <c r="G348" s="10">
        <v>45871</v>
      </c>
      <c r="H348" s="22">
        <v>150</v>
      </c>
      <c r="I348" s="23">
        <v>200</v>
      </c>
      <c r="J348" s="24"/>
      <c r="K348" s="14">
        <v>45873</v>
      </c>
      <c r="L348" s="22"/>
      <c r="M348" s="22"/>
      <c r="T348" s="82" t="str">
        <f t="shared" ca="1" si="155"/>
        <v/>
      </c>
      <c r="U348" s="82" t="str">
        <f t="shared" ca="1" si="156"/>
        <v/>
      </c>
      <c r="V348" s="75">
        <f>7</f>
        <v>7</v>
      </c>
      <c r="W348" s="83" t="s">
        <v>194</v>
      </c>
      <c r="X348" s="83" t="s">
        <v>100</v>
      </c>
      <c r="Y348" s="28"/>
      <c r="Z348" s="28"/>
      <c r="AA348" s="28"/>
      <c r="AD348" s="21" t="s">
        <v>35</v>
      </c>
      <c r="AE348" s="19" t="s">
        <v>36</v>
      </c>
    </row>
    <row r="349" spans="1:31" ht="14.4" x14ac:dyDescent="0.3">
      <c r="A349" s="21">
        <v>4904</v>
      </c>
      <c r="B349" s="37" t="s">
        <v>47</v>
      </c>
      <c r="C349" s="8">
        <v>768</v>
      </c>
      <c r="D349" s="92" t="s">
        <v>32</v>
      </c>
      <c r="E349" s="21" t="s">
        <v>77</v>
      </c>
      <c r="F349" s="38">
        <v>45985</v>
      </c>
      <c r="G349" s="38">
        <v>45993</v>
      </c>
      <c r="H349" s="25"/>
      <c r="I349" s="39"/>
      <c r="J349" s="40"/>
      <c r="K349" s="96">
        <v>45993</v>
      </c>
      <c r="L349" s="22"/>
      <c r="M349" s="22"/>
      <c r="T349" s="82" t="str">
        <f t="shared" ca="1" si="155"/>
        <v/>
      </c>
      <c r="U349" s="82" t="str">
        <f t="shared" ca="1" si="156"/>
        <v/>
      </c>
      <c r="V349" s="82"/>
      <c r="W349" s="83" t="s">
        <v>83</v>
      </c>
      <c r="X349" s="82"/>
      <c r="Y349" s="28"/>
      <c r="Z349" s="28"/>
      <c r="AA349" s="28"/>
      <c r="AD349" s="21" t="s">
        <v>35</v>
      </c>
      <c r="AE349" s="19" t="s">
        <v>36</v>
      </c>
    </row>
    <row r="350" spans="1:31" ht="14.4" x14ac:dyDescent="0.3">
      <c r="A350" s="21">
        <v>4909</v>
      </c>
      <c r="B350" s="37" t="s">
        <v>47</v>
      </c>
      <c r="C350" s="8">
        <v>779</v>
      </c>
      <c r="D350" s="92" t="s">
        <v>32</v>
      </c>
      <c r="E350" s="21" t="s">
        <v>46</v>
      </c>
      <c r="F350" s="38">
        <v>45988</v>
      </c>
      <c r="G350" s="38">
        <v>46004</v>
      </c>
      <c r="H350" s="25"/>
      <c r="I350" s="39"/>
      <c r="J350" s="40"/>
      <c r="K350" s="41"/>
      <c r="L350" s="25"/>
      <c r="M350" s="25"/>
      <c r="T350" s="81" t="str">
        <f t="shared" ca="1" si="155"/>
        <v>Bad</v>
      </c>
      <c r="U350" s="75">
        <f t="shared" ca="1" si="156"/>
        <v>131</v>
      </c>
      <c r="V350" s="82"/>
      <c r="W350" s="82"/>
      <c r="X350" s="82"/>
      <c r="Y350" s="28"/>
      <c r="Z350" s="28"/>
      <c r="AA350" s="28"/>
      <c r="AD350" s="21" t="s">
        <v>35</v>
      </c>
      <c r="AE350" s="19" t="s">
        <v>36</v>
      </c>
    </row>
    <row r="351" spans="1:31" ht="14.4" x14ac:dyDescent="0.3">
      <c r="A351" s="21">
        <v>5024</v>
      </c>
      <c r="B351" s="26" t="s">
        <v>387</v>
      </c>
      <c r="C351" s="8">
        <v>780</v>
      </c>
      <c r="D351" s="92" t="s">
        <v>38</v>
      </c>
      <c r="E351" s="6" t="s">
        <v>33</v>
      </c>
      <c r="F351" s="27">
        <v>46044</v>
      </c>
      <c r="G351" s="27">
        <v>46044</v>
      </c>
      <c r="H351" s="29">
        <v>20</v>
      </c>
      <c r="I351" s="30">
        <v>85</v>
      </c>
      <c r="J351" s="21"/>
      <c r="K351" s="31">
        <v>46045</v>
      </c>
      <c r="L351" s="29"/>
      <c r="M351" s="29"/>
      <c r="N351" s="69">
        <v>46045</v>
      </c>
      <c r="O351" s="70"/>
      <c r="P351" s="70"/>
      <c r="Q351" s="71"/>
      <c r="R351" s="71" t="str">
        <f>IF(Q351,Q351-K351,"")</f>
        <v/>
      </c>
      <c r="S351" s="71" t="str">
        <f>IF(R351="","",IF(R351&lt;=4,"Excellent",IF(R351&lt;=8,"Good",IF(R351&lt;=15,"Average",IF(R351&lt;=30,"Poor",IF(R351&gt;=30,"Bad"))))))</f>
        <v/>
      </c>
      <c r="T351" s="68" t="str">
        <f ca="1">IF(U351="","",IF(U351&lt;=3,"Excellent",IF(U351&lt;=7,"Good",IF(U351&lt;=14,"Average",IF(U351&lt;=30,"Poor",IF(U351&gt;=30,"Bad"))))))</f>
        <v/>
      </c>
      <c r="U351" s="68" t="str">
        <f ca="1">IF(E351="Document", IF(#REF!="", "", TODAY() -#REF!), "")</f>
        <v/>
      </c>
      <c r="V351" s="68"/>
      <c r="W351" s="78" t="s">
        <v>187</v>
      </c>
      <c r="X351" s="78" t="s">
        <v>61</v>
      </c>
      <c r="Y351" s="75"/>
      <c r="Z351" s="75"/>
      <c r="AD351" s="21" t="s">
        <v>35</v>
      </c>
      <c r="AE351" s="19" t="s">
        <v>36</v>
      </c>
    </row>
    <row r="352" spans="1:31" ht="14.4" x14ac:dyDescent="0.3">
      <c r="A352" s="21">
        <v>4808</v>
      </c>
      <c r="B352" s="55" t="s">
        <v>37</v>
      </c>
      <c r="C352" s="8">
        <v>780</v>
      </c>
      <c r="D352" s="92" t="s">
        <v>57</v>
      </c>
      <c r="E352" s="21" t="s">
        <v>33</v>
      </c>
      <c r="F352" s="10">
        <v>45902</v>
      </c>
      <c r="G352" s="10">
        <v>45902</v>
      </c>
      <c r="H352" s="22">
        <v>60</v>
      </c>
      <c r="I352" s="23">
        <v>60</v>
      </c>
      <c r="J352" s="24"/>
      <c r="K352" s="14">
        <v>45902</v>
      </c>
      <c r="L352" s="22"/>
      <c r="M352" s="22"/>
      <c r="T352" s="82" t="str">
        <f t="shared" ref="T352:T356" ca="1" si="157">IF($U352="","",IF($U352&lt;=3,"Excellent",IF($U352&lt;=7,"Good",IF($U352&lt;=14,"Average",IF($U352&lt;=30,"Poor",IF($U352&gt;=30,"Bad"))))))</f>
        <v/>
      </c>
      <c r="U352" s="82" t="str">
        <f t="shared" ref="U352:U356" ca="1" si="158">IF(E352="Document", IF(G352="", "", TODAY() - G352), "")</f>
        <v/>
      </c>
      <c r="V352" s="82"/>
      <c r="W352" s="83" t="s">
        <v>388</v>
      </c>
      <c r="X352" s="83" t="s">
        <v>297</v>
      </c>
      <c r="Y352" s="28"/>
      <c r="Z352" s="28"/>
      <c r="AA352" s="28"/>
      <c r="AD352" s="21" t="s">
        <v>35</v>
      </c>
      <c r="AE352" s="19" t="s">
        <v>36</v>
      </c>
    </row>
    <row r="353" spans="1:31" ht="14.4" x14ac:dyDescent="0.3">
      <c r="A353" s="21">
        <v>4819</v>
      </c>
      <c r="B353" s="55" t="s">
        <v>389</v>
      </c>
      <c r="C353" s="8">
        <v>780</v>
      </c>
      <c r="D353" s="92" t="s">
        <v>32</v>
      </c>
      <c r="E353" s="21" t="s">
        <v>46</v>
      </c>
      <c r="F353" s="10">
        <v>45908</v>
      </c>
      <c r="G353" s="10">
        <v>45909</v>
      </c>
      <c r="H353" s="25"/>
      <c r="I353" s="39"/>
      <c r="J353" s="40"/>
      <c r="K353" s="41"/>
      <c r="L353" s="22"/>
      <c r="M353" s="22"/>
      <c r="T353" s="81" t="str">
        <f t="shared" ca="1" si="157"/>
        <v>Bad</v>
      </c>
      <c r="U353" s="75">
        <f t="shared" ca="1" si="158"/>
        <v>226</v>
      </c>
      <c r="V353" s="75">
        <f>41</f>
        <v>41</v>
      </c>
      <c r="W353" s="82"/>
      <c r="X353" s="82"/>
      <c r="Y353" s="28"/>
      <c r="Z353" s="28"/>
      <c r="AA353" s="28"/>
      <c r="AD353" s="21" t="s">
        <v>35</v>
      </c>
      <c r="AE353" s="19" t="s">
        <v>36</v>
      </c>
    </row>
    <row r="354" spans="1:31" ht="14.4" x14ac:dyDescent="0.3">
      <c r="A354" s="21">
        <v>4879</v>
      </c>
      <c r="B354" s="37" t="s">
        <v>390</v>
      </c>
      <c r="C354" s="8">
        <v>780</v>
      </c>
      <c r="D354" s="92" t="s">
        <v>38</v>
      </c>
      <c r="E354" s="6" t="s">
        <v>33</v>
      </c>
      <c r="F354" s="42">
        <v>45954</v>
      </c>
      <c r="G354" s="42">
        <v>45954</v>
      </c>
      <c r="H354" s="22">
        <v>55</v>
      </c>
      <c r="I354" s="23">
        <v>160</v>
      </c>
      <c r="J354" s="24"/>
      <c r="K354" s="14">
        <v>45955</v>
      </c>
      <c r="L354" s="22"/>
      <c r="M354" s="22"/>
      <c r="T354" s="82" t="str">
        <f t="shared" ca="1" si="157"/>
        <v/>
      </c>
      <c r="U354" s="82" t="str">
        <f t="shared" ca="1" si="158"/>
        <v/>
      </c>
      <c r="V354" s="82"/>
      <c r="W354" s="83" t="s">
        <v>391</v>
      </c>
      <c r="X354" s="83" t="s">
        <v>267</v>
      </c>
      <c r="Y354" s="28"/>
      <c r="Z354" s="28"/>
      <c r="AA354" s="28"/>
      <c r="AD354" s="21" t="s">
        <v>35</v>
      </c>
      <c r="AE354" s="19" t="s">
        <v>36</v>
      </c>
    </row>
    <row r="355" spans="1:31" ht="14.4" x14ac:dyDescent="0.3">
      <c r="A355" s="21">
        <v>4898</v>
      </c>
      <c r="B355" s="37" t="s">
        <v>225</v>
      </c>
      <c r="C355" s="8">
        <v>780</v>
      </c>
      <c r="D355" s="92" t="s">
        <v>76</v>
      </c>
      <c r="E355" s="21" t="s">
        <v>77</v>
      </c>
      <c r="F355" s="42">
        <v>45973</v>
      </c>
      <c r="G355" s="42">
        <v>45973</v>
      </c>
      <c r="H355" s="25"/>
      <c r="I355" s="39"/>
      <c r="J355" s="40"/>
      <c r="K355" s="14">
        <v>45973</v>
      </c>
      <c r="L355" s="22"/>
      <c r="M355" s="22"/>
      <c r="T355" s="82" t="str">
        <f t="shared" ca="1" si="157"/>
        <v/>
      </c>
      <c r="U355" s="82" t="str">
        <f t="shared" ca="1" si="158"/>
        <v/>
      </c>
      <c r="V355" s="82"/>
      <c r="W355" s="83" t="s">
        <v>392</v>
      </c>
      <c r="X355" s="82"/>
      <c r="Y355" s="28"/>
      <c r="Z355" s="28"/>
      <c r="AA355" s="28"/>
      <c r="AD355" s="21" t="s">
        <v>35</v>
      </c>
      <c r="AE355" s="19" t="s">
        <v>36</v>
      </c>
    </row>
    <row r="356" spans="1:31" ht="14.4" x14ac:dyDescent="0.3">
      <c r="A356" s="6">
        <v>4523</v>
      </c>
      <c r="B356" s="7" t="s">
        <v>393</v>
      </c>
      <c r="C356" s="8">
        <v>781</v>
      </c>
      <c r="D356" s="92" t="s">
        <v>32</v>
      </c>
      <c r="E356" s="6" t="s">
        <v>33</v>
      </c>
      <c r="F356" s="10">
        <v>45678</v>
      </c>
      <c r="G356" s="10">
        <v>45679</v>
      </c>
      <c r="H356" s="11">
        <v>260</v>
      </c>
      <c r="I356" s="12">
        <v>260</v>
      </c>
      <c r="J356" s="13"/>
      <c r="K356" s="36">
        <v>45680</v>
      </c>
      <c r="L356" s="11"/>
      <c r="M356" s="11"/>
      <c r="T356" s="78" t="str">
        <f t="shared" ca="1" si="157"/>
        <v/>
      </c>
      <c r="U356" s="78" t="str">
        <f t="shared" ca="1" si="158"/>
        <v/>
      </c>
      <c r="V356" s="78"/>
      <c r="W356" s="78"/>
      <c r="X356" s="74" t="s">
        <v>34</v>
      </c>
      <c r="Y356" s="18"/>
      <c r="Z356" s="18"/>
      <c r="AA356" s="18"/>
      <c r="AD356" s="6" t="s">
        <v>35</v>
      </c>
      <c r="AE356" s="19" t="s">
        <v>36</v>
      </c>
    </row>
    <row r="357" spans="1:31" ht="14.4" x14ac:dyDescent="0.3">
      <c r="A357" s="8">
        <v>5000</v>
      </c>
      <c r="B357" s="43" t="s">
        <v>225</v>
      </c>
      <c r="C357" s="8">
        <v>782</v>
      </c>
      <c r="D357" s="95" t="s">
        <v>76</v>
      </c>
      <c r="E357" s="8" t="s">
        <v>33</v>
      </c>
      <c r="F357" s="45">
        <v>46034</v>
      </c>
      <c r="G357" s="45">
        <v>46034</v>
      </c>
      <c r="H357" s="46">
        <v>27</v>
      </c>
      <c r="I357" s="47">
        <v>27</v>
      </c>
      <c r="J357" s="8"/>
      <c r="K357" s="48">
        <v>46034</v>
      </c>
      <c r="L357" s="46"/>
      <c r="M357" s="46"/>
      <c r="N357" s="91">
        <v>46034</v>
      </c>
      <c r="O357" s="87"/>
      <c r="P357" s="87"/>
      <c r="Q357" s="88"/>
      <c r="R357" s="88" t="str">
        <f t="shared" ref="R357:R358" si="159">IF(Q357,Q357-K357,"")</f>
        <v/>
      </c>
      <c r="S357" s="88" t="str">
        <f t="shared" ref="S357:S358" si="160">IF(R357="","",IF(R357&lt;=4,"Excellent",IF(R357&lt;=8,"Good",IF(R357&lt;=15,"Average",IF(R357&lt;=30,"Poor",IF(R357&gt;=30,"Bad"))))))</f>
        <v/>
      </c>
      <c r="T357" s="72" t="str">
        <f ca="1">IF(U357="","",IF(U357&lt;=3,"Excellent",IF(U357&lt;=7,"Good",IF(U357&lt;=14,"Average",IF(U357&lt;=30,"Poor",IF(U357&gt;=30,"Bad"))))))</f>
        <v/>
      </c>
      <c r="U357" s="73" t="str">
        <f ca="1">IF(E357="Document", IF(#REF!="", "", TODAY() -#REF!), "")</f>
        <v/>
      </c>
      <c r="V357" s="73"/>
      <c r="W357" s="74" t="s">
        <v>109</v>
      </c>
      <c r="X357" s="74" t="s">
        <v>92</v>
      </c>
      <c r="Y357" s="89"/>
      <c r="Z357" s="89"/>
      <c r="AD357" s="8" t="s">
        <v>35</v>
      </c>
      <c r="AE357" s="19" t="s">
        <v>36</v>
      </c>
    </row>
    <row r="358" spans="1:31" ht="14.4" x14ac:dyDescent="0.3">
      <c r="A358" s="21">
        <v>5122</v>
      </c>
      <c r="B358" s="26" t="s">
        <v>305</v>
      </c>
      <c r="C358" s="8">
        <v>786</v>
      </c>
      <c r="D358" s="92" t="s">
        <v>57</v>
      </c>
      <c r="E358" s="21" t="s">
        <v>33</v>
      </c>
      <c r="F358" s="27">
        <v>46122</v>
      </c>
      <c r="G358" s="27">
        <v>46122</v>
      </c>
      <c r="H358" s="29">
        <v>10</v>
      </c>
      <c r="I358" s="30">
        <v>15</v>
      </c>
      <c r="J358" s="21"/>
      <c r="K358" s="48">
        <v>46126</v>
      </c>
      <c r="L358" s="29"/>
      <c r="M358" s="29"/>
      <c r="N358" s="69">
        <v>46126</v>
      </c>
      <c r="O358" s="70"/>
      <c r="P358" s="70"/>
      <c r="Q358" s="71"/>
      <c r="R358" s="71" t="str">
        <f t="shared" si="159"/>
        <v/>
      </c>
      <c r="S358" s="71" t="str">
        <f t="shared" si="160"/>
        <v/>
      </c>
      <c r="T358" s="72"/>
      <c r="U358" s="73"/>
      <c r="V358" s="73"/>
      <c r="W358" s="74" t="s">
        <v>394</v>
      </c>
      <c r="X358" s="74" t="s">
        <v>394</v>
      </c>
      <c r="Y358" s="75"/>
      <c r="Z358" s="75"/>
      <c r="AD358" s="21" t="s">
        <v>35</v>
      </c>
      <c r="AE358" s="19" t="s">
        <v>36</v>
      </c>
    </row>
    <row r="359" spans="1:31" ht="14.4" x14ac:dyDescent="0.3">
      <c r="A359" s="21">
        <v>4781</v>
      </c>
      <c r="B359" s="55" t="s">
        <v>95</v>
      </c>
      <c r="C359" s="8">
        <v>787</v>
      </c>
      <c r="D359" s="92" t="s">
        <v>32</v>
      </c>
      <c r="E359" s="21" t="s">
        <v>33</v>
      </c>
      <c r="F359" s="10">
        <v>45876</v>
      </c>
      <c r="G359" s="10">
        <v>45882</v>
      </c>
      <c r="H359" s="22">
        <v>233</v>
      </c>
      <c r="I359" s="23">
        <v>263</v>
      </c>
      <c r="J359" s="24"/>
      <c r="K359" s="14">
        <v>45891</v>
      </c>
      <c r="L359" s="22"/>
      <c r="M359" s="22"/>
      <c r="T359" s="82" t="str">
        <f t="shared" ref="T359:T362" ca="1" si="161">IF($U359="","",IF($U359&lt;=3,"Excellent",IF($U359&lt;=7,"Good",IF($U359&lt;=14,"Average",IF($U359&lt;=30,"Poor",IF($U359&gt;=30,"Bad"))))))</f>
        <v/>
      </c>
      <c r="U359" s="82" t="str">
        <f t="shared" ref="U359:U362" ca="1" si="162">IF(E359="Document", IF(G359="", "", TODAY() - G359), "")</f>
        <v/>
      </c>
      <c r="V359" s="75">
        <f>16</f>
        <v>16</v>
      </c>
      <c r="W359" s="83" t="s">
        <v>176</v>
      </c>
      <c r="X359" s="83" t="s">
        <v>59</v>
      </c>
      <c r="Y359" s="28"/>
      <c r="Z359" s="28"/>
      <c r="AA359" s="28"/>
      <c r="AD359" s="21" t="s">
        <v>35</v>
      </c>
      <c r="AE359" s="19" t="s">
        <v>36</v>
      </c>
    </row>
    <row r="360" spans="1:31" ht="14.4" x14ac:dyDescent="0.3">
      <c r="A360" s="6">
        <v>4586</v>
      </c>
      <c r="B360" s="7" t="s">
        <v>84</v>
      </c>
      <c r="C360" s="8">
        <v>788</v>
      </c>
      <c r="D360" s="92" t="s">
        <v>38</v>
      </c>
      <c r="E360" s="6" t="s">
        <v>33</v>
      </c>
      <c r="F360" s="10">
        <v>45712</v>
      </c>
      <c r="G360" s="10">
        <v>45714</v>
      </c>
      <c r="H360" s="11">
        <v>45</v>
      </c>
      <c r="I360" s="12">
        <v>45</v>
      </c>
      <c r="J360" s="13"/>
      <c r="K360" s="36">
        <v>45715</v>
      </c>
      <c r="L360" s="11"/>
      <c r="M360" s="11"/>
      <c r="T360" s="78" t="str">
        <f t="shared" ca="1" si="161"/>
        <v/>
      </c>
      <c r="U360" s="78" t="str">
        <f t="shared" ca="1" si="162"/>
        <v/>
      </c>
      <c r="V360" s="78"/>
      <c r="W360" s="78"/>
      <c r="X360" s="74" t="s">
        <v>34</v>
      </c>
      <c r="Y360" s="18"/>
      <c r="Z360" s="18"/>
      <c r="AA360" s="18"/>
      <c r="AD360" s="6" t="s">
        <v>35</v>
      </c>
      <c r="AE360" s="19" t="s">
        <v>36</v>
      </c>
    </row>
    <row r="361" spans="1:31" ht="14.4" x14ac:dyDescent="0.3">
      <c r="A361" s="6">
        <v>4626</v>
      </c>
      <c r="B361" s="7" t="s">
        <v>347</v>
      </c>
      <c r="C361" s="8">
        <v>802</v>
      </c>
      <c r="D361" s="92" t="s">
        <v>57</v>
      </c>
      <c r="E361" s="6" t="s">
        <v>46</v>
      </c>
      <c r="F361" s="10">
        <v>45757</v>
      </c>
      <c r="G361" s="10">
        <v>45757</v>
      </c>
      <c r="H361" s="16"/>
      <c r="I361" s="53"/>
      <c r="J361" s="54"/>
      <c r="K361" s="41"/>
      <c r="L361" s="11"/>
      <c r="M361" s="11"/>
      <c r="T361" s="77" t="str">
        <f t="shared" ca="1" si="161"/>
        <v>Bad</v>
      </c>
      <c r="U361" s="73">
        <f t="shared" ca="1" si="162"/>
        <v>378</v>
      </c>
      <c r="V361" s="73">
        <f>109</f>
        <v>109</v>
      </c>
      <c r="W361" s="78"/>
      <c r="X361" s="78"/>
      <c r="Y361" s="18"/>
      <c r="Z361" s="18"/>
      <c r="AA361" s="18"/>
      <c r="AD361" s="6" t="s">
        <v>35</v>
      </c>
      <c r="AE361" s="19" t="s">
        <v>36</v>
      </c>
    </row>
    <row r="362" spans="1:31" ht="14.4" x14ac:dyDescent="0.3">
      <c r="A362" s="21">
        <v>4719</v>
      </c>
      <c r="B362" s="7" t="s">
        <v>395</v>
      </c>
      <c r="C362" s="8">
        <v>807</v>
      </c>
      <c r="D362" s="92" t="s">
        <v>32</v>
      </c>
      <c r="E362" s="21" t="s">
        <v>33</v>
      </c>
      <c r="F362" s="10">
        <v>45846</v>
      </c>
      <c r="G362" s="10">
        <v>45852</v>
      </c>
      <c r="H362" s="22">
        <v>198</v>
      </c>
      <c r="I362" s="23">
        <v>198</v>
      </c>
      <c r="J362" s="24"/>
      <c r="K362" s="14">
        <v>45854</v>
      </c>
      <c r="L362" s="22"/>
      <c r="M362" s="22"/>
      <c r="T362" s="82" t="str">
        <f t="shared" ca="1" si="161"/>
        <v/>
      </c>
      <c r="U362" s="82" t="str">
        <f t="shared" ca="1" si="162"/>
        <v/>
      </c>
      <c r="V362" s="75">
        <f>5</f>
        <v>5</v>
      </c>
      <c r="W362" s="83" t="s">
        <v>396</v>
      </c>
      <c r="X362" s="83" t="s">
        <v>325</v>
      </c>
      <c r="Y362" s="28"/>
      <c r="Z362" s="28"/>
      <c r="AA362" s="28"/>
      <c r="AD362" s="21" t="s">
        <v>55</v>
      </c>
      <c r="AE362" s="19" t="s">
        <v>36</v>
      </c>
    </row>
    <row r="363" spans="1:31" ht="14.4" x14ac:dyDescent="0.3">
      <c r="A363" s="8">
        <v>4999</v>
      </c>
      <c r="B363" s="43" t="s">
        <v>397</v>
      </c>
      <c r="C363" s="8">
        <v>810</v>
      </c>
      <c r="D363" s="95" t="s">
        <v>57</v>
      </c>
      <c r="E363" s="62" t="s">
        <v>33</v>
      </c>
      <c r="F363" s="45">
        <v>46036</v>
      </c>
      <c r="G363" s="45">
        <v>46036</v>
      </c>
      <c r="H363" s="46">
        <v>10</v>
      </c>
      <c r="I363" s="47">
        <v>15</v>
      </c>
      <c r="J363" s="8"/>
      <c r="K363" s="48">
        <v>46036</v>
      </c>
      <c r="L363" s="46"/>
      <c r="M363" s="46"/>
      <c r="N363" s="91">
        <v>46037</v>
      </c>
      <c r="O363" s="87"/>
      <c r="P363" s="87"/>
      <c r="Q363" s="88"/>
      <c r="R363" s="88" t="str">
        <f>IF(Q363,Q363-K363,"")</f>
        <v/>
      </c>
      <c r="S363" s="88" t="str">
        <f>IF(R363="","",IF(R363&lt;=4,"Excellent",IF(R363&lt;=8,"Good",IF(R363&lt;=15,"Average",IF(R363&lt;=30,"Poor",IF(R363&gt;=30,"Bad"))))))</f>
        <v/>
      </c>
      <c r="T363" s="72" t="str">
        <f ca="1">IF(U363="","",IF(U363&lt;=3,"Excellent",IF(U363&lt;=7,"Good",IF(U363&lt;=14,"Average",IF(U363&lt;=30,"Poor",IF(U363&gt;=30,"Bad"))))))</f>
        <v/>
      </c>
      <c r="U363" s="73" t="str">
        <f ca="1">IF(E363="Document", IF(#REF!="", "", TODAY() -#REF!), "")</f>
        <v/>
      </c>
      <c r="V363" s="73"/>
      <c r="W363" s="74" t="s">
        <v>86</v>
      </c>
      <c r="X363" s="74" t="s">
        <v>61</v>
      </c>
      <c r="Y363" s="89"/>
      <c r="Z363" s="89"/>
      <c r="AD363" s="8" t="s">
        <v>35</v>
      </c>
      <c r="AE363" s="19" t="s">
        <v>36</v>
      </c>
    </row>
    <row r="364" spans="1:31" ht="14.4" x14ac:dyDescent="0.3">
      <c r="A364" s="6">
        <v>4555</v>
      </c>
      <c r="B364" s="7" t="s">
        <v>47</v>
      </c>
      <c r="C364" s="8">
        <v>810</v>
      </c>
      <c r="D364" s="92" t="s">
        <v>32</v>
      </c>
      <c r="E364" s="6" t="s">
        <v>33</v>
      </c>
      <c r="F364" s="10">
        <v>45783</v>
      </c>
      <c r="G364" s="10">
        <v>45792</v>
      </c>
      <c r="H364" s="11">
        <v>243</v>
      </c>
      <c r="I364" s="12">
        <v>263</v>
      </c>
      <c r="J364" s="13"/>
      <c r="K364" s="14">
        <v>45793</v>
      </c>
      <c r="L364" s="11"/>
      <c r="M364" s="11"/>
      <c r="T364" s="78" t="str">
        <f t="shared" ref="T364:T367" ca="1" si="163">IF($U364="","",IF($U364&lt;=3,"Excellent",IF($U364&lt;=7,"Good",IF($U364&lt;=14,"Average",IF($U364&lt;=30,"Poor",IF($U364&gt;=30,"Bad"))))))</f>
        <v/>
      </c>
      <c r="U364" s="78" t="str">
        <f t="shared" ref="U364:U367" ca="1" si="164">IF(E364="Document", IF(G364="", "", TODAY() - G364), "")</f>
        <v/>
      </c>
      <c r="V364" s="78"/>
      <c r="W364" s="78"/>
      <c r="X364" s="74" t="s">
        <v>34</v>
      </c>
      <c r="Y364" s="18"/>
      <c r="Z364" s="18"/>
      <c r="AA364" s="18"/>
      <c r="AD364" s="6" t="s">
        <v>35</v>
      </c>
      <c r="AE364" s="19" t="s">
        <v>36</v>
      </c>
    </row>
    <row r="365" spans="1:31" ht="14.4" x14ac:dyDescent="0.3">
      <c r="A365" s="21">
        <v>4968</v>
      </c>
      <c r="B365" s="37" t="s">
        <v>398</v>
      </c>
      <c r="C365" s="8">
        <v>810</v>
      </c>
      <c r="D365" s="92" t="s">
        <v>57</v>
      </c>
      <c r="E365" s="21" t="s">
        <v>33</v>
      </c>
      <c r="F365" s="38">
        <v>45978</v>
      </c>
      <c r="G365" s="38">
        <v>45978</v>
      </c>
      <c r="H365" s="22">
        <v>11</v>
      </c>
      <c r="I365" s="23">
        <v>11</v>
      </c>
      <c r="J365" s="24"/>
      <c r="K365" s="14">
        <v>46009</v>
      </c>
      <c r="L365" s="22"/>
      <c r="M365" s="22"/>
      <c r="T365" s="82" t="str">
        <f t="shared" ca="1" si="163"/>
        <v/>
      </c>
      <c r="U365" s="82" t="str">
        <f t="shared" ca="1" si="164"/>
        <v/>
      </c>
      <c r="V365" s="82"/>
      <c r="W365" s="83" t="s">
        <v>233</v>
      </c>
      <c r="X365" s="83" t="s">
        <v>105</v>
      </c>
      <c r="Y365" s="28"/>
      <c r="Z365" s="28"/>
      <c r="AA365" s="28"/>
      <c r="AD365" s="21" t="s">
        <v>35</v>
      </c>
      <c r="AE365" s="19" t="s">
        <v>36</v>
      </c>
    </row>
    <row r="366" spans="1:31" ht="14.4" x14ac:dyDescent="0.3">
      <c r="A366" s="21">
        <v>4503</v>
      </c>
      <c r="B366" s="55" t="s">
        <v>399</v>
      </c>
      <c r="C366" s="8">
        <v>814</v>
      </c>
      <c r="D366" s="92" t="s">
        <v>32</v>
      </c>
      <c r="E366" s="21" t="s">
        <v>77</v>
      </c>
      <c r="F366" s="10">
        <v>45880</v>
      </c>
      <c r="G366" s="10">
        <v>45884</v>
      </c>
      <c r="H366" s="25"/>
      <c r="I366" s="39"/>
      <c r="J366" s="40"/>
      <c r="K366" s="14">
        <v>45887</v>
      </c>
      <c r="L366" s="22"/>
      <c r="M366" s="22"/>
      <c r="T366" s="82" t="str">
        <f t="shared" ca="1" si="163"/>
        <v/>
      </c>
      <c r="U366" s="82" t="str">
        <f t="shared" ca="1" si="164"/>
        <v/>
      </c>
      <c r="V366" s="82"/>
      <c r="W366" s="83" t="s">
        <v>58</v>
      </c>
      <c r="X366" s="82"/>
      <c r="Y366" s="28"/>
      <c r="Z366" s="28"/>
      <c r="AA366" s="28"/>
      <c r="AD366" s="21" t="s">
        <v>35</v>
      </c>
      <c r="AE366" s="19" t="s">
        <v>36</v>
      </c>
    </row>
    <row r="367" spans="1:31" ht="14.4" x14ac:dyDescent="0.3">
      <c r="A367" s="21">
        <v>4830</v>
      </c>
      <c r="B367" s="7" t="s">
        <v>98</v>
      </c>
      <c r="C367" s="8">
        <v>814</v>
      </c>
      <c r="D367" s="92" t="s">
        <v>38</v>
      </c>
      <c r="E367" s="21" t="s">
        <v>33</v>
      </c>
      <c r="F367" s="10">
        <v>45915</v>
      </c>
      <c r="G367" s="10">
        <v>45918</v>
      </c>
      <c r="H367" s="22">
        <v>206</v>
      </c>
      <c r="I367" s="23">
        <v>221</v>
      </c>
      <c r="J367" s="24"/>
      <c r="K367" s="14">
        <v>45919</v>
      </c>
      <c r="L367" s="22"/>
      <c r="M367" s="22"/>
      <c r="T367" s="82" t="str">
        <f t="shared" ca="1" si="163"/>
        <v/>
      </c>
      <c r="U367" s="82" t="str">
        <f t="shared" ca="1" si="164"/>
        <v/>
      </c>
      <c r="V367" s="75">
        <f>22</f>
        <v>22</v>
      </c>
      <c r="W367" s="83" t="s">
        <v>247</v>
      </c>
      <c r="X367" s="83" t="s">
        <v>161</v>
      </c>
      <c r="Y367" s="28"/>
      <c r="Z367" s="28"/>
      <c r="AA367" s="28"/>
      <c r="AD367" s="21" t="s">
        <v>35</v>
      </c>
      <c r="AE367" s="19" t="s">
        <v>36</v>
      </c>
    </row>
    <row r="368" spans="1:31" ht="14.4" x14ac:dyDescent="0.3">
      <c r="A368" s="21">
        <v>5046</v>
      </c>
      <c r="B368" s="26" t="s">
        <v>400</v>
      </c>
      <c r="C368" s="8">
        <v>818</v>
      </c>
      <c r="D368" s="92" t="s">
        <v>38</v>
      </c>
      <c r="E368" s="6" t="s">
        <v>33</v>
      </c>
      <c r="F368" s="27">
        <v>46057</v>
      </c>
      <c r="G368" s="27">
        <v>46061</v>
      </c>
      <c r="H368" s="29">
        <v>282</v>
      </c>
      <c r="I368" s="30">
        <v>342</v>
      </c>
      <c r="J368" s="21"/>
      <c r="K368" s="31">
        <v>46061</v>
      </c>
      <c r="L368" s="29"/>
      <c r="M368" s="29"/>
      <c r="N368" s="69">
        <v>46062</v>
      </c>
      <c r="O368" s="70"/>
      <c r="P368" s="70"/>
      <c r="Q368" s="71"/>
      <c r="R368" s="71" t="str">
        <f>IF(Q368,Q368-K368,"")</f>
        <v/>
      </c>
      <c r="S368" s="71" t="str">
        <f>IF(R368="","",IF(R368&lt;=4,"Excellent",IF(R368&lt;=8,"Good",IF(R368&lt;=15,"Average",IF(R368&lt;=30,"Poor",IF(R368&gt;=30,"Bad"))))))</f>
        <v/>
      </c>
      <c r="T368" s="68" t="str">
        <f ca="1">IF(U368="","",IF(U368&lt;=3,"Excellent",IF(U368&lt;=7,"Good",IF(U368&lt;=14,"Average",IF(U368&lt;=30,"Poor",IF(U368&gt;=30,"Bad"))))))</f>
        <v/>
      </c>
      <c r="U368" s="68" t="str">
        <f ca="1">IF(E368="Document", IF(#REF!="", "", TODAY() -#REF!), "")</f>
        <v/>
      </c>
      <c r="V368" s="68"/>
      <c r="W368" s="78" t="s">
        <v>199</v>
      </c>
      <c r="X368" s="78" t="s">
        <v>200</v>
      </c>
      <c r="Y368" s="75"/>
      <c r="Z368" s="75"/>
      <c r="AD368" s="21" t="s">
        <v>35</v>
      </c>
      <c r="AE368" s="19" t="s">
        <v>36</v>
      </c>
    </row>
    <row r="369" spans="1:31" ht="14.4" x14ac:dyDescent="0.3">
      <c r="A369" s="21">
        <v>4724</v>
      </c>
      <c r="B369" s="7" t="s">
        <v>401</v>
      </c>
      <c r="C369" s="8">
        <v>819</v>
      </c>
      <c r="D369" s="92" t="s">
        <v>32</v>
      </c>
      <c r="E369" s="21" t="s">
        <v>33</v>
      </c>
      <c r="F369" s="10">
        <v>45847</v>
      </c>
      <c r="G369" s="10">
        <v>45848</v>
      </c>
      <c r="H369" s="22">
        <v>168</v>
      </c>
      <c r="I369" s="23">
        <v>168</v>
      </c>
      <c r="J369" s="24"/>
      <c r="K369" s="14">
        <v>45849</v>
      </c>
      <c r="L369" s="22"/>
      <c r="M369" s="22"/>
      <c r="T369" s="82" t="str">
        <f ca="1">IF($U369="","",IF($U369&lt;=3,"Excellent",IF($U369&lt;=7,"Good",IF($U369&lt;=14,"Average",IF($U369&lt;=30,"Poor",IF($U369&gt;=30,"Bad"))))))</f>
        <v/>
      </c>
      <c r="U369" s="82" t="str">
        <f ca="1">IF(E369="Document", IF(G369="", "", TODAY() - G369), "")</f>
        <v/>
      </c>
      <c r="V369" s="82"/>
      <c r="W369" s="83" t="s">
        <v>402</v>
      </c>
      <c r="X369" s="83" t="s">
        <v>121</v>
      </c>
      <c r="Y369" s="28"/>
      <c r="Z369" s="28"/>
      <c r="AA369" s="28"/>
      <c r="AD369" s="21" t="s">
        <v>35</v>
      </c>
      <c r="AE369" s="19" t="s">
        <v>36</v>
      </c>
    </row>
    <row r="370" spans="1:31" ht="14.4" x14ac:dyDescent="0.3">
      <c r="A370" s="8">
        <v>5005</v>
      </c>
      <c r="B370" s="43" t="s">
        <v>403</v>
      </c>
      <c r="C370" s="8">
        <v>822</v>
      </c>
      <c r="D370" s="95" t="s">
        <v>57</v>
      </c>
      <c r="E370" s="8" t="s">
        <v>46</v>
      </c>
      <c r="F370" s="45">
        <v>46036</v>
      </c>
      <c r="G370" s="45">
        <v>46036</v>
      </c>
      <c r="H370" s="46"/>
      <c r="I370" s="47"/>
      <c r="J370" s="8"/>
      <c r="K370" s="48"/>
      <c r="L370" s="46"/>
      <c r="M370" s="46"/>
      <c r="N370" s="91"/>
      <c r="O370" s="87"/>
      <c r="P370" s="87"/>
      <c r="Q370" s="88"/>
      <c r="R370" s="88" t="str">
        <f>IF(Q370,Q370-K370,"")</f>
        <v/>
      </c>
      <c r="S370" s="88" t="str">
        <f>IF(R370="","",IF(R370&lt;=4,"Excellent",IF(R370&lt;=8,"Good",IF(R370&lt;=15,"Average",IF(R370&lt;=30,"Poor",IF(R370&gt;=30,"Bad"))))))</f>
        <v/>
      </c>
      <c r="T370" s="72" t="str">
        <f t="shared" ref="T370:T371" ca="1" si="165">IF(U370="","",IF(U370&lt;=3,"Excellent",IF(U370&lt;=7,"Good",IF(U370&lt;=14,"Average",IF(U370&lt;=30,"Poor",IF(U370&gt;=30,"Bad"))))))</f>
        <v>Bad</v>
      </c>
      <c r="U370" s="21">
        <f t="shared" ref="U370" ca="1" si="166">IF(E370="Document", IF(G370="", "", TODAY() - G370), "")</f>
        <v>99</v>
      </c>
      <c r="V370" s="73">
        <f>40</f>
        <v>40</v>
      </c>
      <c r="W370" s="74"/>
      <c r="X370" s="74"/>
      <c r="Y370" s="89"/>
      <c r="Z370" s="89"/>
      <c r="AD370" s="8" t="s">
        <v>35</v>
      </c>
      <c r="AE370" s="19" t="s">
        <v>36</v>
      </c>
    </row>
    <row r="371" spans="1:31" ht="14.4" x14ac:dyDescent="0.3">
      <c r="A371" s="6">
        <v>4515</v>
      </c>
      <c r="B371" s="7" t="s">
        <v>327</v>
      </c>
      <c r="C371" s="8">
        <v>822</v>
      </c>
      <c r="D371" s="92" t="s">
        <v>57</v>
      </c>
      <c r="E371" s="6" t="s">
        <v>33</v>
      </c>
      <c r="F371" s="10">
        <v>45663</v>
      </c>
      <c r="G371" s="10">
        <v>45663</v>
      </c>
      <c r="H371" s="11">
        <v>15</v>
      </c>
      <c r="I371" s="12">
        <v>25</v>
      </c>
      <c r="J371" s="13"/>
      <c r="K371" s="36">
        <v>45667</v>
      </c>
      <c r="L371" s="11"/>
      <c r="M371" s="11"/>
      <c r="T371" s="78" t="str">
        <f t="shared" ca="1" si="165"/>
        <v/>
      </c>
      <c r="U371" s="78" t="str">
        <f t="shared" ref="U371:U377" ca="1" si="167">IF(E371="Document", IF(G371="", "", TODAY() - G371), "")</f>
        <v/>
      </c>
      <c r="V371" s="78"/>
      <c r="W371" s="78"/>
      <c r="X371" s="74" t="s">
        <v>34</v>
      </c>
      <c r="Y371" s="18"/>
      <c r="Z371" s="18"/>
      <c r="AA371" s="18"/>
      <c r="AD371" s="6" t="s">
        <v>35</v>
      </c>
      <c r="AE371" s="19" t="s">
        <v>36</v>
      </c>
    </row>
    <row r="372" spans="1:31" ht="14.4" x14ac:dyDescent="0.3">
      <c r="A372" s="6">
        <v>4580</v>
      </c>
      <c r="B372" s="7" t="s">
        <v>404</v>
      </c>
      <c r="C372" s="8">
        <v>822</v>
      </c>
      <c r="D372" s="92" t="s">
        <v>38</v>
      </c>
      <c r="E372" s="6" t="s">
        <v>33</v>
      </c>
      <c r="F372" s="10">
        <v>45713</v>
      </c>
      <c r="G372" s="10">
        <v>45727</v>
      </c>
      <c r="H372" s="11">
        <v>307</v>
      </c>
      <c r="I372" s="12">
        <v>329</v>
      </c>
      <c r="J372" s="13"/>
      <c r="K372" s="36">
        <v>45728</v>
      </c>
      <c r="L372" s="11"/>
      <c r="M372" s="11"/>
      <c r="T372" s="78" t="str">
        <f t="shared" ref="T372:T377" ca="1" si="168">IF($U372="","",IF($U372&lt;=3,"Excellent",IF($U372&lt;=7,"Good",IF($U372&lt;=14,"Average",IF($U372&lt;=30,"Poor",IF($U372&gt;=30,"Bad"))))))</f>
        <v/>
      </c>
      <c r="U372" s="78" t="str">
        <f t="shared" ca="1" si="167"/>
        <v/>
      </c>
      <c r="V372" s="78"/>
      <c r="W372" s="78"/>
      <c r="X372" s="74" t="s">
        <v>34</v>
      </c>
      <c r="Y372" s="18"/>
      <c r="Z372" s="18"/>
      <c r="AA372" s="18"/>
      <c r="AD372" s="6" t="s">
        <v>35</v>
      </c>
      <c r="AE372" s="19" t="s">
        <v>36</v>
      </c>
    </row>
    <row r="373" spans="1:31" ht="14.4" x14ac:dyDescent="0.3">
      <c r="A373" s="21">
        <v>4860</v>
      </c>
      <c r="B373" s="7" t="s">
        <v>405</v>
      </c>
      <c r="C373" s="8">
        <v>822</v>
      </c>
      <c r="D373" s="92" t="s">
        <v>57</v>
      </c>
      <c r="E373" s="21" t="s">
        <v>33</v>
      </c>
      <c r="F373" s="64">
        <v>45918</v>
      </c>
      <c r="G373" s="64">
        <v>45918</v>
      </c>
      <c r="H373" s="22">
        <v>35</v>
      </c>
      <c r="I373" s="23">
        <v>35</v>
      </c>
      <c r="J373" s="24"/>
      <c r="K373" s="14">
        <v>45919</v>
      </c>
      <c r="L373" s="22"/>
      <c r="M373" s="22"/>
      <c r="T373" s="82" t="str">
        <f t="shared" ca="1" si="168"/>
        <v/>
      </c>
      <c r="U373" s="82" t="str">
        <f t="shared" ca="1" si="167"/>
        <v/>
      </c>
      <c r="V373" s="75">
        <f>1</f>
        <v>1</v>
      </c>
      <c r="W373" s="82"/>
      <c r="X373" s="83" t="s">
        <v>164</v>
      </c>
      <c r="Y373" s="28"/>
      <c r="Z373" s="28"/>
      <c r="AA373" s="28"/>
      <c r="AD373" s="21" t="s">
        <v>35</v>
      </c>
      <c r="AE373" s="19" t="s">
        <v>36</v>
      </c>
    </row>
    <row r="374" spans="1:31" ht="14.4" x14ac:dyDescent="0.3">
      <c r="A374" s="21">
        <v>3732</v>
      </c>
      <c r="B374" s="37" t="s">
        <v>406</v>
      </c>
      <c r="C374" s="8">
        <v>822</v>
      </c>
      <c r="D374" s="92" t="s">
        <v>57</v>
      </c>
      <c r="E374" s="21" t="s">
        <v>33</v>
      </c>
      <c r="F374" s="42">
        <v>45971</v>
      </c>
      <c r="G374" s="42">
        <v>45972</v>
      </c>
      <c r="H374" s="22">
        <v>10</v>
      </c>
      <c r="I374" s="23">
        <v>15</v>
      </c>
      <c r="J374" s="24"/>
      <c r="K374" s="14">
        <v>45972</v>
      </c>
      <c r="L374" s="22"/>
      <c r="M374" s="22"/>
      <c r="T374" s="82" t="str">
        <f t="shared" ca="1" si="168"/>
        <v/>
      </c>
      <c r="U374" s="82" t="str">
        <f t="shared" ca="1" si="167"/>
        <v/>
      </c>
      <c r="V374" s="82"/>
      <c r="W374" s="83" t="s">
        <v>392</v>
      </c>
      <c r="X374" s="83" t="s">
        <v>249</v>
      </c>
      <c r="Y374" s="28"/>
      <c r="Z374" s="28"/>
      <c r="AA374" s="28"/>
      <c r="AD374" s="21" t="s">
        <v>35</v>
      </c>
      <c r="AE374" s="19" t="s">
        <v>36</v>
      </c>
    </row>
    <row r="375" spans="1:31" ht="14.4" x14ac:dyDescent="0.3">
      <c r="A375" s="6">
        <v>4693</v>
      </c>
      <c r="B375" s="20" t="s">
        <v>95</v>
      </c>
      <c r="C375" s="8">
        <v>826</v>
      </c>
      <c r="D375" s="92" t="s">
        <v>32</v>
      </c>
      <c r="E375" s="6" t="s">
        <v>33</v>
      </c>
      <c r="F375" s="10">
        <v>45824</v>
      </c>
      <c r="G375" s="10">
        <v>45835</v>
      </c>
      <c r="H375" s="11">
        <v>263</v>
      </c>
      <c r="I375" s="12">
        <v>323</v>
      </c>
      <c r="J375" s="13"/>
      <c r="K375" s="14">
        <v>45838</v>
      </c>
      <c r="L375" s="11"/>
      <c r="M375" s="11"/>
      <c r="T375" s="78" t="str">
        <f t="shared" ca="1" si="168"/>
        <v/>
      </c>
      <c r="U375" s="78" t="str">
        <f t="shared" ca="1" si="167"/>
        <v/>
      </c>
      <c r="V375" s="78"/>
      <c r="W375" s="74" t="s">
        <v>106</v>
      </c>
      <c r="X375" s="74" t="s">
        <v>250</v>
      </c>
      <c r="Y375" s="18"/>
      <c r="Z375" s="18"/>
      <c r="AA375" s="18"/>
      <c r="AD375" s="6" t="s">
        <v>55</v>
      </c>
      <c r="AE375" s="19" t="s">
        <v>36</v>
      </c>
    </row>
    <row r="376" spans="1:31" ht="14.4" x14ac:dyDescent="0.3">
      <c r="A376" s="21">
        <v>4760</v>
      </c>
      <c r="B376" s="7" t="s">
        <v>280</v>
      </c>
      <c r="C376" s="8">
        <v>832</v>
      </c>
      <c r="D376" s="92" t="s">
        <v>76</v>
      </c>
      <c r="E376" s="21" t="s">
        <v>33</v>
      </c>
      <c r="F376" s="10">
        <v>45862</v>
      </c>
      <c r="G376" s="10">
        <v>45863</v>
      </c>
      <c r="H376" s="22">
        <v>27</v>
      </c>
      <c r="I376" s="23">
        <v>27</v>
      </c>
      <c r="J376" s="24"/>
      <c r="K376" s="14">
        <v>45867</v>
      </c>
      <c r="L376" s="22"/>
      <c r="M376" s="22"/>
      <c r="T376" s="82" t="str">
        <f t="shared" ca="1" si="168"/>
        <v/>
      </c>
      <c r="U376" s="82" t="str">
        <f t="shared" ca="1" si="167"/>
        <v/>
      </c>
      <c r="V376" s="75">
        <f>3</f>
        <v>3</v>
      </c>
      <c r="W376" s="83" t="s">
        <v>160</v>
      </c>
      <c r="X376" s="83" t="s">
        <v>264</v>
      </c>
      <c r="Y376" s="28"/>
      <c r="Z376" s="28"/>
      <c r="AA376" s="28"/>
      <c r="AD376" s="21" t="s">
        <v>35</v>
      </c>
      <c r="AE376" s="19" t="s">
        <v>36</v>
      </c>
    </row>
    <row r="377" spans="1:31" ht="14.4" x14ac:dyDescent="0.3">
      <c r="A377" s="21">
        <v>4895</v>
      </c>
      <c r="B377" s="37" t="s">
        <v>47</v>
      </c>
      <c r="C377" s="8">
        <v>832</v>
      </c>
      <c r="D377" s="92" t="s">
        <v>32</v>
      </c>
      <c r="E377" s="21" t="s">
        <v>33</v>
      </c>
      <c r="F377" s="38">
        <v>46006</v>
      </c>
      <c r="G377" s="38">
        <v>46012</v>
      </c>
      <c r="H377" s="22">
        <v>298</v>
      </c>
      <c r="I377" s="23">
        <v>308</v>
      </c>
      <c r="J377" s="24"/>
      <c r="K377" s="14">
        <v>46013</v>
      </c>
      <c r="L377" s="22"/>
      <c r="M377" s="22"/>
      <c r="T377" s="82" t="str">
        <f t="shared" ca="1" si="168"/>
        <v/>
      </c>
      <c r="U377" s="82" t="str">
        <f t="shared" ca="1" si="167"/>
        <v/>
      </c>
      <c r="V377" s="82"/>
      <c r="W377" s="83" t="s">
        <v>233</v>
      </c>
      <c r="X377" s="83" t="s">
        <v>105</v>
      </c>
      <c r="Y377" s="28"/>
      <c r="Z377" s="28"/>
      <c r="AA377" s="28"/>
      <c r="AD377" s="21" t="s">
        <v>35</v>
      </c>
      <c r="AE377" s="19" t="s">
        <v>36</v>
      </c>
    </row>
    <row r="378" spans="1:31" ht="14.4" x14ac:dyDescent="0.3">
      <c r="A378" s="8">
        <v>5003</v>
      </c>
      <c r="B378" s="43" t="s">
        <v>407</v>
      </c>
      <c r="C378" s="8">
        <v>833</v>
      </c>
      <c r="D378" s="95" t="s">
        <v>38</v>
      </c>
      <c r="E378" s="62" t="s">
        <v>33</v>
      </c>
      <c r="F378" s="45">
        <v>46037</v>
      </c>
      <c r="G378" s="45">
        <v>46037</v>
      </c>
      <c r="H378" s="46">
        <v>25</v>
      </c>
      <c r="I378" s="47">
        <v>35</v>
      </c>
      <c r="J378" s="8"/>
      <c r="K378" s="48">
        <v>46041</v>
      </c>
      <c r="L378" s="46"/>
      <c r="M378" s="46"/>
      <c r="N378" s="91">
        <v>46041</v>
      </c>
      <c r="O378" s="87"/>
      <c r="P378" s="87"/>
      <c r="Q378" s="88"/>
      <c r="R378" s="88" t="str">
        <f t="shared" ref="R378:R379" si="169">IF(Q378,Q378-K378,"")</f>
        <v/>
      </c>
      <c r="S378" s="88" t="str">
        <f t="shared" ref="S378:S379" si="170">IF(R378="","",IF(R378&lt;=4,"Excellent",IF(R378&lt;=8,"Good",IF(R378&lt;=15,"Average",IF(R378&lt;=30,"Poor",IF(R378&gt;=30,"Bad"))))))</f>
        <v/>
      </c>
      <c r="T378" s="72" t="str">
        <f t="shared" ref="T378:T379" ca="1" si="171">IF(U378="","",IF(U378&lt;=3,"Excellent",IF(U378&lt;=7,"Good",IF(U378&lt;=14,"Average",IF(U378&lt;=30,"Poor",IF(U378&gt;=30,"Bad"))))))</f>
        <v/>
      </c>
      <c r="U378" s="73" t="str">
        <f ca="1">IF(E378="Document", IF(#REF!="", "", TODAY() -#REF!), "")</f>
        <v/>
      </c>
      <c r="V378" s="73"/>
      <c r="W378" s="74" t="s">
        <v>408</v>
      </c>
      <c r="X378" s="74" t="s">
        <v>409</v>
      </c>
      <c r="Y378" s="89"/>
      <c r="Z378" s="89"/>
      <c r="AD378" s="8" t="s">
        <v>35</v>
      </c>
      <c r="AE378" s="19" t="s">
        <v>36</v>
      </c>
    </row>
    <row r="379" spans="1:31" ht="14.4" x14ac:dyDescent="0.3">
      <c r="A379" s="21">
        <v>5097</v>
      </c>
      <c r="B379" s="26" t="s">
        <v>410</v>
      </c>
      <c r="C379" s="8">
        <v>833</v>
      </c>
      <c r="D379" s="92" t="s">
        <v>32</v>
      </c>
      <c r="E379" s="6" t="s">
        <v>33</v>
      </c>
      <c r="F379" s="27">
        <v>46090</v>
      </c>
      <c r="G379" s="27">
        <v>46092</v>
      </c>
      <c r="H379" s="29">
        <v>352</v>
      </c>
      <c r="I379" s="30">
        <v>352</v>
      </c>
      <c r="J379" s="21"/>
      <c r="K379" s="31">
        <v>46097</v>
      </c>
      <c r="L379" s="29"/>
      <c r="M379" s="29"/>
      <c r="N379" s="69">
        <v>46097</v>
      </c>
      <c r="O379" s="70"/>
      <c r="P379" s="70"/>
      <c r="Q379" s="71"/>
      <c r="R379" s="71" t="str">
        <f t="shared" si="169"/>
        <v/>
      </c>
      <c r="S379" s="71" t="str">
        <f t="shared" si="170"/>
        <v/>
      </c>
      <c r="T379" s="68" t="str">
        <f t="shared" ca="1" si="171"/>
        <v/>
      </c>
      <c r="U379" s="68" t="str">
        <f ca="1">IF(E379="Document", IF(#REF!="", "", TODAY() -#REF!), "")</f>
        <v/>
      </c>
      <c r="V379" s="68">
        <f>2</f>
        <v>2</v>
      </c>
      <c r="W379" s="78" t="s">
        <v>140</v>
      </c>
      <c r="X379" s="78" t="s">
        <v>114</v>
      </c>
      <c r="Y379" s="75"/>
      <c r="Z379" s="75"/>
      <c r="AD379" s="21" t="s">
        <v>35</v>
      </c>
      <c r="AE379" s="19" t="s">
        <v>36</v>
      </c>
    </row>
    <row r="380" spans="1:31" ht="14.4" x14ac:dyDescent="0.3">
      <c r="A380" s="21">
        <v>4967</v>
      </c>
      <c r="B380" s="37" t="s">
        <v>411</v>
      </c>
      <c r="C380" s="8">
        <v>833</v>
      </c>
      <c r="D380" s="92" t="s">
        <v>76</v>
      </c>
      <c r="E380" s="6" t="s">
        <v>33</v>
      </c>
      <c r="F380" s="38">
        <v>46008</v>
      </c>
      <c r="G380" s="38">
        <v>46010</v>
      </c>
      <c r="H380" s="22">
        <v>30</v>
      </c>
      <c r="I380" s="23">
        <v>30</v>
      </c>
      <c r="J380" s="24"/>
      <c r="K380" s="14">
        <v>46052</v>
      </c>
      <c r="L380" s="22"/>
      <c r="M380" s="22"/>
      <c r="T380" s="82" t="str">
        <f t="shared" ref="T380:T384" ca="1" si="172">IF($U380="","",IF($U380&lt;=3,"Excellent",IF($U380&lt;=7,"Good",IF($U380&lt;=14,"Average",IF($U380&lt;=30,"Poor",IF($U380&gt;=30,"Bad"))))))</f>
        <v/>
      </c>
      <c r="U380" s="82" t="str">
        <f t="shared" ref="U380:U385" ca="1" si="173">IF(E380="Document", IF(G380="", "", TODAY() - G380), "")</f>
        <v/>
      </c>
      <c r="V380" s="82"/>
      <c r="W380" s="83" t="s">
        <v>87</v>
      </c>
      <c r="X380" s="83" t="s">
        <v>93</v>
      </c>
      <c r="Y380" s="28"/>
      <c r="Z380" s="28"/>
      <c r="AA380" s="28"/>
      <c r="AD380" s="21" t="s">
        <v>35</v>
      </c>
      <c r="AE380" s="19" t="s">
        <v>36</v>
      </c>
    </row>
    <row r="381" spans="1:31" ht="14.4" x14ac:dyDescent="0.3">
      <c r="A381" s="6">
        <v>4622</v>
      </c>
      <c r="B381" s="7" t="s">
        <v>412</v>
      </c>
      <c r="C381" s="8">
        <v>836</v>
      </c>
      <c r="D381" s="92" t="s">
        <v>32</v>
      </c>
      <c r="E381" s="6" t="s">
        <v>33</v>
      </c>
      <c r="F381" s="10">
        <v>45742</v>
      </c>
      <c r="G381" s="10">
        <v>45742</v>
      </c>
      <c r="H381" s="11">
        <v>15</v>
      </c>
      <c r="I381" s="12">
        <v>15</v>
      </c>
      <c r="J381" s="13"/>
      <c r="K381" s="36">
        <v>45743</v>
      </c>
      <c r="L381" s="11"/>
      <c r="M381" s="11"/>
      <c r="T381" s="78" t="str">
        <f t="shared" ca="1" si="172"/>
        <v/>
      </c>
      <c r="U381" s="78" t="str">
        <f t="shared" ca="1" si="173"/>
        <v/>
      </c>
      <c r="V381" s="78"/>
      <c r="W381" s="78"/>
      <c r="X381" s="74" t="s">
        <v>34</v>
      </c>
      <c r="Y381" s="18"/>
      <c r="Z381" s="18"/>
      <c r="AA381" s="18"/>
      <c r="AD381" s="6" t="s">
        <v>35</v>
      </c>
      <c r="AE381" s="19" t="s">
        <v>36</v>
      </c>
    </row>
    <row r="382" spans="1:31" ht="14.4" x14ac:dyDescent="0.3">
      <c r="A382" s="6">
        <v>4628</v>
      </c>
      <c r="B382" s="7" t="s">
        <v>413</v>
      </c>
      <c r="C382" s="8">
        <v>836</v>
      </c>
      <c r="D382" s="92" t="s">
        <v>38</v>
      </c>
      <c r="E382" s="6" t="s">
        <v>33</v>
      </c>
      <c r="F382" s="10">
        <v>45757</v>
      </c>
      <c r="G382" s="10">
        <v>45757</v>
      </c>
      <c r="H382" s="11">
        <v>35</v>
      </c>
      <c r="I382" s="12">
        <v>35</v>
      </c>
      <c r="J382" s="13"/>
      <c r="K382" s="14">
        <v>45758</v>
      </c>
      <c r="L382" s="11"/>
      <c r="M382" s="11"/>
      <c r="T382" s="78" t="str">
        <f t="shared" ca="1" si="172"/>
        <v/>
      </c>
      <c r="U382" s="78" t="str">
        <f t="shared" ca="1" si="173"/>
        <v/>
      </c>
      <c r="V382" s="78"/>
      <c r="W382" s="74" t="s">
        <v>106</v>
      </c>
      <c r="X382" s="74" t="s">
        <v>167</v>
      </c>
      <c r="Y382" s="18"/>
      <c r="Z382" s="18"/>
      <c r="AA382" s="18"/>
      <c r="AD382" s="6" t="s">
        <v>35</v>
      </c>
      <c r="AE382" s="19" t="s">
        <v>36</v>
      </c>
    </row>
    <row r="383" spans="1:31" ht="14.4" x14ac:dyDescent="0.3">
      <c r="A383" s="6">
        <v>4649</v>
      </c>
      <c r="B383" s="7" t="s">
        <v>414</v>
      </c>
      <c r="C383" s="8">
        <v>836</v>
      </c>
      <c r="D383" s="92" t="s">
        <v>57</v>
      </c>
      <c r="E383" s="6" t="s">
        <v>46</v>
      </c>
      <c r="F383" s="10">
        <v>45779</v>
      </c>
      <c r="G383" s="10">
        <v>45779</v>
      </c>
      <c r="H383" s="16"/>
      <c r="I383" s="53"/>
      <c r="J383" s="54"/>
      <c r="K383" s="41"/>
      <c r="L383" s="11"/>
      <c r="M383" s="11"/>
      <c r="T383" s="77" t="str">
        <f t="shared" ca="1" si="172"/>
        <v>Bad</v>
      </c>
      <c r="U383" s="73">
        <f t="shared" ca="1" si="173"/>
        <v>356</v>
      </c>
      <c r="V383" s="73">
        <f>109</f>
        <v>109</v>
      </c>
      <c r="W383" s="78"/>
      <c r="X383" s="78"/>
      <c r="Y383" s="18"/>
      <c r="Z383" s="18"/>
      <c r="AA383" s="18"/>
      <c r="AD383" s="6" t="s">
        <v>35</v>
      </c>
      <c r="AE383" s="19" t="s">
        <v>36</v>
      </c>
    </row>
    <row r="384" spans="1:31" ht="14.4" x14ac:dyDescent="0.3">
      <c r="A384" s="21">
        <v>4876</v>
      </c>
      <c r="B384" s="37" t="s">
        <v>37</v>
      </c>
      <c r="C384" s="8">
        <v>836</v>
      </c>
      <c r="D384" s="92" t="s">
        <v>38</v>
      </c>
      <c r="E384" s="21" t="s">
        <v>33</v>
      </c>
      <c r="F384" s="42">
        <v>45971</v>
      </c>
      <c r="G384" s="42">
        <v>45973</v>
      </c>
      <c r="H384" s="22">
        <v>343</v>
      </c>
      <c r="I384" s="23">
        <v>343</v>
      </c>
      <c r="J384" s="24"/>
      <c r="K384" s="14">
        <v>45974</v>
      </c>
      <c r="L384" s="22"/>
      <c r="M384" s="22"/>
      <c r="T384" s="82" t="str">
        <f t="shared" ca="1" si="172"/>
        <v/>
      </c>
      <c r="U384" s="82" t="str">
        <f t="shared" ca="1" si="173"/>
        <v/>
      </c>
      <c r="V384" s="82"/>
      <c r="W384" s="83" t="s">
        <v>243</v>
      </c>
      <c r="X384" s="83" t="s">
        <v>321</v>
      </c>
      <c r="Y384" s="28"/>
      <c r="Z384" s="28"/>
      <c r="AA384" s="28"/>
      <c r="AD384" s="21" t="s">
        <v>35</v>
      </c>
      <c r="AE384" s="19" t="s">
        <v>36</v>
      </c>
    </row>
    <row r="385" spans="1:31" ht="14.4" x14ac:dyDescent="0.3">
      <c r="A385" s="8">
        <v>4995</v>
      </c>
      <c r="B385" s="43" t="s">
        <v>103</v>
      </c>
      <c r="C385" s="8">
        <v>837</v>
      </c>
      <c r="D385" s="95" t="s">
        <v>76</v>
      </c>
      <c r="E385" s="8" t="s">
        <v>46</v>
      </c>
      <c r="F385" s="45">
        <v>46030</v>
      </c>
      <c r="G385" s="45">
        <v>46030</v>
      </c>
      <c r="H385" s="46"/>
      <c r="I385" s="47"/>
      <c r="J385" s="8"/>
      <c r="K385" s="48"/>
      <c r="L385" s="46"/>
      <c r="M385" s="46"/>
      <c r="N385" s="87"/>
      <c r="O385" s="87"/>
      <c r="P385" s="87"/>
      <c r="Q385" s="88"/>
      <c r="R385" s="88" t="str">
        <f t="shared" ref="R385:R386" si="174">IF(Q385,Q385-K385,"")</f>
        <v/>
      </c>
      <c r="S385" s="88" t="str">
        <f t="shared" ref="S385:S386" si="175">IF(R385="","",IF(R385&lt;=4,"Excellent",IF(R385&lt;=8,"Good",IF(R385&lt;=15,"Average",IF(R385&lt;=30,"Poor",IF(R385&gt;=30,"Bad"))))))</f>
        <v/>
      </c>
      <c r="T385" s="72" t="str">
        <f t="shared" ref="T385:T386" ca="1" si="176">IF(U385="","",IF(U385&lt;=3,"Excellent",IF(U385&lt;=7,"Good",IF(U385&lt;=14,"Average",IF(U385&lt;=30,"Poor",IF(U385&gt;=30,"Bad"))))))</f>
        <v>Bad</v>
      </c>
      <c r="U385" s="21">
        <f t="shared" ca="1" si="173"/>
        <v>105</v>
      </c>
      <c r="V385" s="73">
        <f>40</f>
        <v>40</v>
      </c>
      <c r="W385" s="74"/>
      <c r="X385" s="74"/>
      <c r="Y385" s="89"/>
      <c r="Z385" s="89"/>
      <c r="AD385" s="8" t="s">
        <v>35</v>
      </c>
      <c r="AE385" s="19" t="s">
        <v>36</v>
      </c>
    </row>
    <row r="386" spans="1:31" ht="14.4" x14ac:dyDescent="0.3">
      <c r="A386" s="75">
        <v>5096</v>
      </c>
      <c r="B386" s="79" t="s">
        <v>295</v>
      </c>
      <c r="C386" s="8">
        <v>837</v>
      </c>
      <c r="D386" s="92" t="s">
        <v>32</v>
      </c>
      <c r="E386" s="21" t="s">
        <v>33</v>
      </c>
      <c r="F386" s="27">
        <v>46097</v>
      </c>
      <c r="G386" s="27">
        <v>46099</v>
      </c>
      <c r="H386" s="29">
        <v>57</v>
      </c>
      <c r="I386" s="30">
        <v>107</v>
      </c>
      <c r="J386" s="21"/>
      <c r="K386" s="31">
        <v>46099</v>
      </c>
      <c r="L386" s="29"/>
      <c r="M386" s="29"/>
      <c r="N386" s="69">
        <v>46111</v>
      </c>
      <c r="O386" s="70"/>
      <c r="P386" s="70"/>
      <c r="Q386" s="71"/>
      <c r="R386" s="71" t="str">
        <f t="shared" si="174"/>
        <v/>
      </c>
      <c r="S386" s="71" t="str">
        <f t="shared" si="175"/>
        <v/>
      </c>
      <c r="T386" s="68" t="str">
        <f t="shared" ca="1" si="176"/>
        <v/>
      </c>
      <c r="U386" s="68" t="str">
        <f ca="1">IF(E386="Document", IF(#REF!="", "", TODAY() -#REF!), "")</f>
        <v/>
      </c>
      <c r="V386" s="68">
        <f>12</f>
        <v>12</v>
      </c>
      <c r="W386" s="78" t="s">
        <v>162</v>
      </c>
      <c r="X386" s="78" t="s">
        <v>141</v>
      </c>
      <c r="Y386" s="75"/>
      <c r="Z386" s="75"/>
      <c r="AD386" s="21" t="s">
        <v>35</v>
      </c>
      <c r="AE386" s="19" t="s">
        <v>36</v>
      </c>
    </row>
    <row r="387" spans="1:31" ht="14.4" x14ac:dyDescent="0.3">
      <c r="A387" s="6">
        <v>4666</v>
      </c>
      <c r="B387" s="7" t="s">
        <v>415</v>
      </c>
      <c r="C387" s="8">
        <v>837</v>
      </c>
      <c r="D387" s="92" t="s">
        <v>38</v>
      </c>
      <c r="E387" s="6" t="s">
        <v>33</v>
      </c>
      <c r="F387" s="10">
        <v>45798</v>
      </c>
      <c r="G387" s="10">
        <v>45798</v>
      </c>
      <c r="H387" s="11">
        <v>65</v>
      </c>
      <c r="I387" s="12">
        <v>80</v>
      </c>
      <c r="J387" s="13"/>
      <c r="K387" s="14">
        <v>45799</v>
      </c>
      <c r="L387" s="11"/>
      <c r="M387" s="11"/>
      <c r="T387" s="78" t="str">
        <f t="shared" ref="T387:T395" ca="1" si="177">IF($U387="","",IF($U387&lt;=3,"Excellent",IF($U387&lt;=7,"Good",IF($U387&lt;=14,"Average",IF($U387&lt;=30,"Poor",IF($U387&gt;=30,"Bad"))))))</f>
        <v/>
      </c>
      <c r="U387" s="78" t="str">
        <f t="shared" ref="U387:U395" ca="1" si="178">IF(E387="Document", IF(G387="", "", TODAY() - G387), "")</f>
        <v/>
      </c>
      <c r="V387" s="78"/>
      <c r="W387" s="78"/>
      <c r="X387" s="74" t="s">
        <v>34</v>
      </c>
      <c r="Y387" s="18"/>
      <c r="Z387" s="18"/>
      <c r="AA387" s="18"/>
      <c r="AD387" s="6" t="s">
        <v>35</v>
      </c>
      <c r="AE387" s="19" t="s">
        <v>36</v>
      </c>
    </row>
    <row r="388" spans="1:31" ht="14.4" x14ac:dyDescent="0.3">
      <c r="A388" s="6">
        <v>4680</v>
      </c>
      <c r="B388" s="7" t="s">
        <v>416</v>
      </c>
      <c r="C388" s="8">
        <v>837</v>
      </c>
      <c r="D388" s="92" t="s">
        <v>38</v>
      </c>
      <c r="E388" s="6" t="s">
        <v>33</v>
      </c>
      <c r="F388" s="10">
        <v>45824</v>
      </c>
      <c r="G388" s="10">
        <v>45828</v>
      </c>
      <c r="H388" s="11">
        <v>298</v>
      </c>
      <c r="I388" s="12">
        <v>298</v>
      </c>
      <c r="J388" s="13"/>
      <c r="K388" s="14">
        <v>45831</v>
      </c>
      <c r="L388" s="11"/>
      <c r="M388" s="11"/>
      <c r="T388" s="78" t="str">
        <f t="shared" ca="1" si="177"/>
        <v/>
      </c>
      <c r="U388" s="78" t="str">
        <f t="shared" ca="1" si="178"/>
        <v/>
      </c>
      <c r="V388" s="78"/>
      <c r="W388" s="78"/>
      <c r="X388" s="74" t="s">
        <v>34</v>
      </c>
      <c r="Y388" s="18"/>
      <c r="Z388" s="18"/>
      <c r="AA388" s="18"/>
      <c r="AD388" s="6" t="s">
        <v>35</v>
      </c>
      <c r="AE388" s="19" t="s">
        <v>36</v>
      </c>
    </row>
    <row r="389" spans="1:31" ht="14.4" x14ac:dyDescent="0.3">
      <c r="A389" s="21">
        <v>4758</v>
      </c>
      <c r="B389" s="7" t="s">
        <v>417</v>
      </c>
      <c r="C389" s="8">
        <v>837</v>
      </c>
      <c r="D389" s="92" t="s">
        <v>32</v>
      </c>
      <c r="E389" s="21" t="s">
        <v>33</v>
      </c>
      <c r="F389" s="10">
        <v>45861</v>
      </c>
      <c r="G389" s="10">
        <v>45861</v>
      </c>
      <c r="H389" s="22">
        <v>55</v>
      </c>
      <c r="I389" s="23">
        <v>55</v>
      </c>
      <c r="J389" s="24"/>
      <c r="K389" s="14">
        <v>45869</v>
      </c>
      <c r="L389" s="22"/>
      <c r="M389" s="22"/>
      <c r="T389" s="82" t="str">
        <f t="shared" ca="1" si="177"/>
        <v/>
      </c>
      <c r="U389" s="82" t="str">
        <f t="shared" ca="1" si="178"/>
        <v/>
      </c>
      <c r="V389" s="75">
        <f>6</f>
        <v>6</v>
      </c>
      <c r="W389" s="83" t="s">
        <v>418</v>
      </c>
      <c r="X389" s="83" t="s">
        <v>273</v>
      </c>
      <c r="Y389" s="28"/>
      <c r="Z389" s="28"/>
      <c r="AA389" s="28"/>
      <c r="AD389" s="21" t="s">
        <v>35</v>
      </c>
      <c r="AE389" s="19" t="s">
        <v>36</v>
      </c>
    </row>
    <row r="390" spans="1:31" ht="14.4" x14ac:dyDescent="0.3">
      <c r="A390" s="21">
        <v>4730</v>
      </c>
      <c r="B390" s="7" t="s">
        <v>419</v>
      </c>
      <c r="C390" s="8">
        <v>840</v>
      </c>
      <c r="D390" s="92" t="s">
        <v>32</v>
      </c>
      <c r="E390" s="21" t="s">
        <v>33</v>
      </c>
      <c r="F390" s="10">
        <v>45852</v>
      </c>
      <c r="G390" s="10">
        <v>45856</v>
      </c>
      <c r="H390" s="22">
        <v>51</v>
      </c>
      <c r="I390" s="23">
        <v>51</v>
      </c>
      <c r="J390" s="24"/>
      <c r="K390" s="14">
        <v>45859</v>
      </c>
      <c r="L390" s="22"/>
      <c r="M390" s="22"/>
      <c r="T390" s="82" t="str">
        <f t="shared" ca="1" si="177"/>
        <v/>
      </c>
      <c r="U390" s="82" t="str">
        <f t="shared" ca="1" si="178"/>
        <v/>
      </c>
      <c r="V390" s="75">
        <f>1</f>
        <v>1</v>
      </c>
      <c r="W390" s="83" t="s">
        <v>420</v>
      </c>
      <c r="X390" s="83" t="s">
        <v>214</v>
      </c>
      <c r="Y390" s="28"/>
      <c r="Z390" s="28"/>
      <c r="AA390" s="28"/>
      <c r="AD390" s="21" t="s">
        <v>35</v>
      </c>
      <c r="AE390" s="19" t="s">
        <v>36</v>
      </c>
    </row>
    <row r="391" spans="1:31" ht="14.4" x14ac:dyDescent="0.3">
      <c r="A391" s="21">
        <v>4801</v>
      </c>
      <c r="B391" s="55" t="s">
        <v>421</v>
      </c>
      <c r="C391" s="8">
        <v>840</v>
      </c>
      <c r="D391" s="92" t="s">
        <v>38</v>
      </c>
      <c r="E391" s="21" t="s">
        <v>33</v>
      </c>
      <c r="F391" s="10">
        <v>45895</v>
      </c>
      <c r="G391" s="10">
        <v>45895</v>
      </c>
      <c r="H391" s="22">
        <v>30</v>
      </c>
      <c r="I391" s="23">
        <v>40</v>
      </c>
      <c r="J391" s="24"/>
      <c r="K391" s="14">
        <v>45898</v>
      </c>
      <c r="L391" s="22"/>
      <c r="M391" s="22"/>
      <c r="T391" s="82" t="str">
        <f t="shared" ca="1" si="177"/>
        <v/>
      </c>
      <c r="U391" s="82" t="str">
        <f t="shared" ca="1" si="178"/>
        <v/>
      </c>
      <c r="V391" s="82"/>
      <c r="W391" s="83" t="s">
        <v>422</v>
      </c>
      <c r="X391" s="83" t="s">
        <v>297</v>
      </c>
      <c r="Y391" s="28"/>
      <c r="Z391" s="28"/>
      <c r="AA391" s="28"/>
      <c r="AD391" s="21" t="s">
        <v>35</v>
      </c>
      <c r="AE391" s="19" t="s">
        <v>36</v>
      </c>
    </row>
    <row r="392" spans="1:31" ht="14.4" x14ac:dyDescent="0.3">
      <c r="A392" s="21">
        <v>4807</v>
      </c>
      <c r="B392" s="55" t="s">
        <v>308</v>
      </c>
      <c r="C392" s="8">
        <v>840</v>
      </c>
      <c r="D392" s="92" t="s">
        <v>38</v>
      </c>
      <c r="E392" s="21" t="s">
        <v>33</v>
      </c>
      <c r="F392" s="10">
        <v>45901</v>
      </c>
      <c r="G392" s="10">
        <v>45901</v>
      </c>
      <c r="H392" s="22">
        <v>13</v>
      </c>
      <c r="I392" s="23">
        <v>13</v>
      </c>
      <c r="J392" s="24"/>
      <c r="K392" s="14">
        <v>45901</v>
      </c>
      <c r="L392" s="22"/>
      <c r="M392" s="22"/>
      <c r="T392" s="82" t="str">
        <f t="shared" ca="1" si="177"/>
        <v/>
      </c>
      <c r="U392" s="82" t="str">
        <f t="shared" ca="1" si="178"/>
        <v/>
      </c>
      <c r="V392" s="82"/>
      <c r="W392" s="83" t="s">
        <v>330</v>
      </c>
      <c r="X392" s="83" t="s">
        <v>297</v>
      </c>
      <c r="Y392" s="28"/>
      <c r="Z392" s="28"/>
      <c r="AA392" s="28"/>
      <c r="AD392" s="21" t="s">
        <v>35</v>
      </c>
      <c r="AE392" s="19" t="s">
        <v>36</v>
      </c>
    </row>
    <row r="393" spans="1:31" ht="14.4" x14ac:dyDescent="0.3">
      <c r="A393" s="21">
        <v>4843</v>
      </c>
      <c r="B393" s="7" t="s">
        <v>37</v>
      </c>
      <c r="C393" s="8">
        <v>840</v>
      </c>
      <c r="D393" s="92" t="s">
        <v>38</v>
      </c>
      <c r="E393" s="21" t="s">
        <v>33</v>
      </c>
      <c r="F393" s="10">
        <v>45930</v>
      </c>
      <c r="G393" s="10">
        <v>45930</v>
      </c>
      <c r="H393" s="22">
        <v>10</v>
      </c>
      <c r="I393" s="23">
        <v>20</v>
      </c>
      <c r="J393" s="24"/>
      <c r="K393" s="14">
        <v>45931</v>
      </c>
      <c r="L393" s="22"/>
      <c r="M393" s="22"/>
      <c r="T393" s="82" t="str">
        <f t="shared" ca="1" si="177"/>
        <v/>
      </c>
      <c r="U393" s="82" t="str">
        <f t="shared" ca="1" si="178"/>
        <v/>
      </c>
      <c r="V393" s="82"/>
      <c r="W393" s="83" t="s">
        <v>423</v>
      </c>
      <c r="X393" s="83" t="s">
        <v>424</v>
      </c>
      <c r="Y393" s="28"/>
      <c r="Z393" s="28"/>
      <c r="AA393" s="28"/>
      <c r="AD393" s="21" t="s">
        <v>35</v>
      </c>
      <c r="AE393" s="19" t="s">
        <v>36</v>
      </c>
    </row>
    <row r="394" spans="1:31" ht="14.4" x14ac:dyDescent="0.3">
      <c r="A394" s="6">
        <v>4612</v>
      </c>
      <c r="B394" s="7" t="s">
        <v>425</v>
      </c>
      <c r="C394" s="8">
        <v>842</v>
      </c>
      <c r="D394" s="92" t="s">
        <v>57</v>
      </c>
      <c r="E394" s="6" t="s">
        <v>46</v>
      </c>
      <c r="F394" s="10">
        <v>45740</v>
      </c>
      <c r="G394" s="10">
        <v>45740</v>
      </c>
      <c r="H394" s="16"/>
      <c r="I394" s="53"/>
      <c r="J394" s="54"/>
      <c r="K394" s="41"/>
      <c r="L394" s="11"/>
      <c r="M394" s="11"/>
      <c r="T394" s="77" t="str">
        <f t="shared" ca="1" si="177"/>
        <v>Bad</v>
      </c>
      <c r="U394" s="73">
        <f t="shared" ca="1" si="178"/>
        <v>395</v>
      </c>
      <c r="V394" s="73">
        <f>109</f>
        <v>109</v>
      </c>
      <c r="W394" s="78"/>
      <c r="X394" s="78"/>
      <c r="Y394" s="18"/>
      <c r="Z394" s="18"/>
      <c r="AA394" s="18"/>
      <c r="AD394" s="6" t="s">
        <v>35</v>
      </c>
      <c r="AE394" s="19" t="s">
        <v>36</v>
      </c>
    </row>
    <row r="395" spans="1:31" ht="14.4" x14ac:dyDescent="0.3">
      <c r="A395" s="21">
        <v>4823</v>
      </c>
      <c r="B395" s="7" t="s">
        <v>37</v>
      </c>
      <c r="C395" s="8">
        <v>842</v>
      </c>
      <c r="D395" s="92" t="s">
        <v>38</v>
      </c>
      <c r="E395" s="21" t="s">
        <v>33</v>
      </c>
      <c r="F395" s="10">
        <v>45929</v>
      </c>
      <c r="G395" s="64">
        <v>45934</v>
      </c>
      <c r="H395" s="22">
        <v>229</v>
      </c>
      <c r="I395" s="23">
        <v>239</v>
      </c>
      <c r="J395" s="24"/>
      <c r="K395" s="14">
        <v>45936</v>
      </c>
      <c r="L395" s="22"/>
      <c r="M395" s="22"/>
      <c r="T395" s="82" t="str">
        <f t="shared" ca="1" si="177"/>
        <v/>
      </c>
      <c r="U395" s="82" t="str">
        <f t="shared" ca="1" si="178"/>
        <v/>
      </c>
      <c r="V395" s="82"/>
      <c r="W395" s="83" t="s">
        <v>426</v>
      </c>
      <c r="X395" s="83" t="s">
        <v>297</v>
      </c>
      <c r="Y395" s="28"/>
      <c r="Z395" s="28"/>
      <c r="AA395" s="28"/>
      <c r="AD395" s="21" t="s">
        <v>35</v>
      </c>
      <c r="AE395" s="19" t="s">
        <v>36</v>
      </c>
    </row>
    <row r="396" spans="1:31" ht="14.4" x14ac:dyDescent="0.3">
      <c r="A396" s="21">
        <v>5032</v>
      </c>
      <c r="B396" s="26" t="s">
        <v>427</v>
      </c>
      <c r="C396" s="8">
        <v>844</v>
      </c>
      <c r="D396" s="92" t="s">
        <v>57</v>
      </c>
      <c r="E396" s="6" t="s">
        <v>33</v>
      </c>
      <c r="F396" s="27">
        <v>46055</v>
      </c>
      <c r="G396" s="27">
        <v>46055</v>
      </c>
      <c r="H396" s="29">
        <v>10</v>
      </c>
      <c r="I396" s="30">
        <v>15</v>
      </c>
      <c r="J396" s="21"/>
      <c r="K396" s="31">
        <v>46056</v>
      </c>
      <c r="L396" s="29"/>
      <c r="M396" s="29"/>
      <c r="N396" s="69">
        <v>46056</v>
      </c>
      <c r="O396" s="70"/>
      <c r="P396" s="70"/>
      <c r="Q396" s="71"/>
      <c r="R396" s="71" t="str">
        <f t="shared" ref="R396:R397" si="179">IF(Q396,Q396-K396,"")</f>
        <v/>
      </c>
      <c r="S396" s="71" t="str">
        <f t="shared" ref="S396:S397" si="180">IF(R396="","",IF(R396&lt;=4,"Excellent",IF(R396&lt;=8,"Good",IF(R396&lt;=15,"Average",IF(R396&lt;=30,"Poor",IF(R396&gt;=30,"Bad"))))))</f>
        <v/>
      </c>
      <c r="T396" s="68" t="str">
        <f t="shared" ref="T396:T397" ca="1" si="181">IF(U396="","",IF(U396&lt;=3,"Excellent",IF(U396&lt;=7,"Good",IF(U396&lt;=14,"Average",IF(U396&lt;=30,"Poor",IF(U396&gt;=30,"Bad"))))))</f>
        <v/>
      </c>
      <c r="U396" s="68" t="str">
        <f ca="1">IF(E396="Document", IF(#REF!="", "", TODAY() -#REF!), "")</f>
        <v/>
      </c>
      <c r="V396" s="68"/>
      <c r="W396" s="78" t="s">
        <v>93</v>
      </c>
      <c r="X396" s="78" t="s">
        <v>428</v>
      </c>
      <c r="Y396" s="75"/>
      <c r="Z396" s="75"/>
      <c r="AD396" s="21" t="s">
        <v>35</v>
      </c>
      <c r="AE396" s="19" t="s">
        <v>36</v>
      </c>
    </row>
    <row r="397" spans="1:31" ht="14.4" x14ac:dyDescent="0.3">
      <c r="A397" s="21">
        <v>5087</v>
      </c>
      <c r="B397" s="26" t="s">
        <v>429</v>
      </c>
      <c r="C397" s="8">
        <v>844</v>
      </c>
      <c r="D397" s="92" t="s">
        <v>57</v>
      </c>
      <c r="E397" s="59" t="s">
        <v>77</v>
      </c>
      <c r="F397" s="27">
        <v>46077</v>
      </c>
      <c r="G397" s="27">
        <v>46077</v>
      </c>
      <c r="H397" s="29"/>
      <c r="I397" s="30"/>
      <c r="J397" s="21"/>
      <c r="K397" s="31">
        <v>46077</v>
      </c>
      <c r="L397" s="29"/>
      <c r="M397" s="29"/>
      <c r="N397" s="69"/>
      <c r="O397" s="70"/>
      <c r="P397" s="70"/>
      <c r="Q397" s="71"/>
      <c r="R397" s="71" t="str">
        <f t="shared" si="179"/>
        <v/>
      </c>
      <c r="S397" s="71" t="str">
        <f t="shared" si="180"/>
        <v/>
      </c>
      <c r="T397" s="68" t="str">
        <f t="shared" ca="1" si="181"/>
        <v/>
      </c>
      <c r="U397" s="68" t="str">
        <f ca="1">IF(E397="Document", IF(#REF!="", "", TODAY() -#REF!), "")</f>
        <v/>
      </c>
      <c r="V397" s="68"/>
      <c r="W397" s="78" t="s">
        <v>128</v>
      </c>
      <c r="X397" s="78"/>
      <c r="Y397" s="75"/>
      <c r="Z397" s="75"/>
      <c r="AD397" s="21" t="s">
        <v>35</v>
      </c>
      <c r="AE397" s="19" t="s">
        <v>36</v>
      </c>
    </row>
    <row r="398" spans="1:31" ht="14.4" x14ac:dyDescent="0.3">
      <c r="A398" s="6">
        <v>4653</v>
      </c>
      <c r="B398" s="7" t="s">
        <v>317</v>
      </c>
      <c r="C398" s="8">
        <v>844</v>
      </c>
      <c r="D398" s="92" t="s">
        <v>57</v>
      </c>
      <c r="E398" s="6" t="s">
        <v>33</v>
      </c>
      <c r="F398" s="10">
        <v>45783</v>
      </c>
      <c r="G398" s="10">
        <v>45783</v>
      </c>
      <c r="H398" s="11">
        <v>75</v>
      </c>
      <c r="I398" s="12">
        <v>75</v>
      </c>
      <c r="J398" s="13"/>
      <c r="K398" s="14">
        <v>45783</v>
      </c>
      <c r="L398" s="11"/>
      <c r="M398" s="11"/>
      <c r="T398" s="78" t="str">
        <f t="shared" ref="T398:T404" ca="1" si="182">IF($U398="","",IF($U398&lt;=3,"Excellent",IF($U398&lt;=7,"Good",IF($U398&lt;=14,"Average",IF($U398&lt;=30,"Poor",IF($U398&gt;=30,"Bad"))))))</f>
        <v/>
      </c>
      <c r="U398" s="78" t="str">
        <f t="shared" ref="U398:U404" ca="1" si="183">IF(E398="Document", IF(G398="", "", TODAY() - G398), "")</f>
        <v/>
      </c>
      <c r="V398" s="78"/>
      <c r="W398" s="78"/>
      <c r="X398" s="74" t="s">
        <v>34</v>
      </c>
      <c r="Y398" s="18"/>
      <c r="Z398" s="18"/>
      <c r="AA398" s="18"/>
      <c r="AD398" s="6" t="s">
        <v>35</v>
      </c>
      <c r="AE398" s="19" t="s">
        <v>36</v>
      </c>
    </row>
    <row r="399" spans="1:31" ht="14.4" x14ac:dyDescent="0.3">
      <c r="A399" s="6">
        <v>4683</v>
      </c>
      <c r="B399" s="7" t="s">
        <v>430</v>
      </c>
      <c r="C399" s="8">
        <v>844</v>
      </c>
      <c r="D399" s="92" t="s">
        <v>57</v>
      </c>
      <c r="E399" s="6" t="s">
        <v>33</v>
      </c>
      <c r="F399" s="10">
        <v>45818</v>
      </c>
      <c r="G399" s="10">
        <v>45818</v>
      </c>
      <c r="H399" s="11">
        <v>20</v>
      </c>
      <c r="I399" s="12">
        <v>20</v>
      </c>
      <c r="J399" s="13"/>
      <c r="K399" s="14">
        <v>45845</v>
      </c>
      <c r="L399" s="11"/>
      <c r="M399" s="11"/>
      <c r="T399" s="78" t="str">
        <f t="shared" ca="1" si="182"/>
        <v/>
      </c>
      <c r="U399" s="78" t="str">
        <f t="shared" ca="1" si="183"/>
        <v/>
      </c>
      <c r="V399" s="73">
        <f>4</f>
        <v>4</v>
      </c>
      <c r="W399" s="74" t="s">
        <v>107</v>
      </c>
      <c r="X399" s="74" t="s">
        <v>231</v>
      </c>
      <c r="Y399" s="18"/>
      <c r="Z399" s="18"/>
      <c r="AA399" s="18"/>
      <c r="AD399" s="6" t="s">
        <v>35</v>
      </c>
      <c r="AE399" s="19" t="s">
        <v>36</v>
      </c>
    </row>
    <row r="400" spans="1:31" ht="14.4" x14ac:dyDescent="0.3">
      <c r="A400" s="21">
        <v>4708</v>
      </c>
      <c r="B400" s="20" t="s">
        <v>431</v>
      </c>
      <c r="C400" s="8">
        <v>844</v>
      </c>
      <c r="D400" s="92" t="s">
        <v>38</v>
      </c>
      <c r="E400" s="21" t="s">
        <v>33</v>
      </c>
      <c r="F400" s="10">
        <v>45839</v>
      </c>
      <c r="G400" s="10">
        <v>45839</v>
      </c>
      <c r="H400" s="22">
        <v>10</v>
      </c>
      <c r="I400" s="23">
        <v>20</v>
      </c>
      <c r="J400" s="24"/>
      <c r="K400" s="14">
        <v>45848</v>
      </c>
      <c r="L400" s="22"/>
      <c r="M400" s="22"/>
      <c r="T400" s="82" t="str">
        <f t="shared" ca="1" si="182"/>
        <v/>
      </c>
      <c r="U400" s="82" t="str">
        <f t="shared" ca="1" si="183"/>
        <v/>
      </c>
      <c r="V400" s="75">
        <f>6</f>
        <v>6</v>
      </c>
      <c r="W400" s="83" t="s">
        <v>432</v>
      </c>
      <c r="X400" s="83" t="s">
        <v>121</v>
      </c>
      <c r="Y400" s="28"/>
      <c r="Z400" s="28"/>
      <c r="AA400" s="28"/>
      <c r="AD400" s="21" t="s">
        <v>35</v>
      </c>
      <c r="AE400" s="19" t="s">
        <v>36</v>
      </c>
    </row>
    <row r="401" spans="1:31" ht="14.4" x14ac:dyDescent="0.3">
      <c r="A401" s="21">
        <v>4748</v>
      </c>
      <c r="B401" s="7" t="s">
        <v>433</v>
      </c>
      <c r="C401" s="8">
        <v>844</v>
      </c>
      <c r="D401" s="92" t="s">
        <v>69</v>
      </c>
      <c r="E401" s="21" t="s">
        <v>33</v>
      </c>
      <c r="F401" s="10">
        <v>45853</v>
      </c>
      <c r="G401" s="10">
        <v>45853</v>
      </c>
      <c r="H401" s="22">
        <v>44</v>
      </c>
      <c r="I401" s="23">
        <v>44</v>
      </c>
      <c r="J401" s="24"/>
      <c r="K401" s="14">
        <v>45854</v>
      </c>
      <c r="L401" s="22"/>
      <c r="M401" s="22"/>
      <c r="T401" s="82" t="str">
        <f t="shared" ca="1" si="182"/>
        <v/>
      </c>
      <c r="U401" s="82" t="str">
        <f t="shared" ca="1" si="183"/>
        <v/>
      </c>
      <c r="V401" s="82"/>
      <c r="W401" s="83" t="s">
        <v>434</v>
      </c>
      <c r="X401" s="83" t="s">
        <v>286</v>
      </c>
      <c r="Y401" s="28"/>
      <c r="Z401" s="28"/>
      <c r="AA401" s="28"/>
      <c r="AD401" s="21" t="s">
        <v>35</v>
      </c>
      <c r="AE401" s="19" t="s">
        <v>36</v>
      </c>
    </row>
    <row r="402" spans="1:31" ht="14.4" x14ac:dyDescent="0.3">
      <c r="A402" s="21">
        <v>4707</v>
      </c>
      <c r="B402" s="20" t="s">
        <v>395</v>
      </c>
      <c r="C402" s="8">
        <v>846</v>
      </c>
      <c r="D402" s="92" t="s">
        <v>57</v>
      </c>
      <c r="E402" s="21" t="s">
        <v>46</v>
      </c>
      <c r="F402" s="10">
        <v>45846</v>
      </c>
      <c r="G402" s="10">
        <v>45846</v>
      </c>
      <c r="H402" s="25"/>
      <c r="I402" s="39"/>
      <c r="J402" s="40"/>
      <c r="K402" s="41"/>
      <c r="L402" s="22"/>
      <c r="M402" s="22"/>
      <c r="T402" s="81" t="str">
        <f t="shared" ca="1" si="182"/>
        <v>Bad</v>
      </c>
      <c r="U402" s="75">
        <f t="shared" ca="1" si="183"/>
        <v>289</v>
      </c>
      <c r="V402" s="75">
        <f>99</f>
        <v>99</v>
      </c>
      <c r="W402" s="82"/>
      <c r="X402" s="82"/>
      <c r="Y402" s="28"/>
      <c r="Z402" s="28"/>
      <c r="AA402" s="28"/>
      <c r="AD402" s="21" t="s">
        <v>55</v>
      </c>
      <c r="AE402" s="19" t="s">
        <v>36</v>
      </c>
    </row>
    <row r="403" spans="1:31" ht="14.4" x14ac:dyDescent="0.3">
      <c r="A403" s="21">
        <v>4707</v>
      </c>
      <c r="B403" s="7" t="s">
        <v>395</v>
      </c>
      <c r="C403" s="8">
        <v>846</v>
      </c>
      <c r="D403" s="92" t="s">
        <v>57</v>
      </c>
      <c r="E403" s="21" t="s">
        <v>33</v>
      </c>
      <c r="F403" s="10">
        <v>45847</v>
      </c>
      <c r="G403" s="10">
        <v>45847</v>
      </c>
      <c r="H403" s="22">
        <v>15</v>
      </c>
      <c r="I403" s="23">
        <v>25</v>
      </c>
      <c r="J403" s="24"/>
      <c r="K403" s="14">
        <v>45847</v>
      </c>
      <c r="L403" s="22"/>
      <c r="M403" s="22"/>
      <c r="T403" s="82" t="str">
        <f t="shared" ca="1" si="182"/>
        <v/>
      </c>
      <c r="U403" s="82" t="str">
        <f t="shared" ca="1" si="183"/>
        <v/>
      </c>
      <c r="V403" s="82"/>
      <c r="W403" s="83" t="s">
        <v>402</v>
      </c>
      <c r="X403" s="83" t="s">
        <v>159</v>
      </c>
      <c r="Y403" s="28"/>
      <c r="Z403" s="28"/>
      <c r="AA403" s="28"/>
      <c r="AD403" s="21" t="s">
        <v>55</v>
      </c>
      <c r="AE403" s="19" t="s">
        <v>36</v>
      </c>
    </row>
    <row r="404" spans="1:31" ht="14.4" x14ac:dyDescent="0.3">
      <c r="A404" s="21">
        <v>4835</v>
      </c>
      <c r="B404" s="7" t="s">
        <v>95</v>
      </c>
      <c r="C404" s="8">
        <v>846</v>
      </c>
      <c r="D404" s="92" t="s">
        <v>32</v>
      </c>
      <c r="E404" s="21" t="s">
        <v>33</v>
      </c>
      <c r="F404" s="10">
        <v>45917</v>
      </c>
      <c r="G404" s="10">
        <v>45924</v>
      </c>
      <c r="H404" s="22">
        <v>263</v>
      </c>
      <c r="I404" s="23">
        <v>323</v>
      </c>
      <c r="J404" s="24"/>
      <c r="K404" s="14">
        <v>45924</v>
      </c>
      <c r="L404" s="22"/>
      <c r="M404" s="22"/>
      <c r="T404" s="82" t="str">
        <f t="shared" ca="1" si="182"/>
        <v/>
      </c>
      <c r="U404" s="82" t="str">
        <f t="shared" ca="1" si="183"/>
        <v/>
      </c>
      <c r="V404" s="82"/>
      <c r="W404" s="83" t="s">
        <v>435</v>
      </c>
      <c r="X404" s="83" t="s">
        <v>275</v>
      </c>
      <c r="Y404" s="28"/>
      <c r="Z404" s="28"/>
      <c r="AA404" s="28"/>
      <c r="AD404" s="21" t="s">
        <v>35</v>
      </c>
      <c r="AE404" s="19" t="s">
        <v>36</v>
      </c>
    </row>
    <row r="405" spans="1:31" ht="14.4" x14ac:dyDescent="0.3">
      <c r="A405" s="21">
        <v>5033</v>
      </c>
      <c r="B405" s="26" t="s">
        <v>436</v>
      </c>
      <c r="C405" s="8">
        <v>847</v>
      </c>
      <c r="D405" s="92" t="s">
        <v>32</v>
      </c>
      <c r="E405" s="6" t="s">
        <v>33</v>
      </c>
      <c r="F405" s="27">
        <v>46055</v>
      </c>
      <c r="G405" s="27">
        <v>46063</v>
      </c>
      <c r="H405" s="29">
        <v>356</v>
      </c>
      <c r="I405" s="30">
        <v>406</v>
      </c>
      <c r="J405" s="21"/>
      <c r="K405" s="31">
        <v>46064</v>
      </c>
      <c r="L405" s="29"/>
      <c r="M405" s="29"/>
      <c r="N405" s="69">
        <v>46065</v>
      </c>
      <c r="O405" s="70"/>
      <c r="P405" s="70"/>
      <c r="Q405" s="71"/>
      <c r="R405" s="71" t="str">
        <f>IF(Q405,Q405-K405,"")</f>
        <v/>
      </c>
      <c r="S405" s="71" t="str">
        <f>IF(R405="","",IF(R405&lt;=4,"Excellent",IF(R405&lt;=8,"Good",IF(R405&lt;=15,"Average",IF(R405&lt;=30,"Poor",IF(R405&gt;=30,"Bad"))))))</f>
        <v/>
      </c>
      <c r="T405" s="68" t="str">
        <f t="shared" ref="T405:T406" ca="1" si="184">IF(U405="","",IF(U405&lt;=3,"Excellent",IF(U405&lt;=7,"Good",IF(U405&lt;=14,"Average",IF(U405&lt;=30,"Poor",IF(U405&gt;=30,"Bad"))))))</f>
        <v/>
      </c>
      <c r="U405" s="68" t="str">
        <f ca="1">IF(E405="Document", IF(#REF!="", "", TODAY() -#REF!), "")</f>
        <v/>
      </c>
      <c r="V405" s="68"/>
      <c r="W405" s="78" t="s">
        <v>208</v>
      </c>
      <c r="X405" s="78" t="s">
        <v>437</v>
      </c>
      <c r="Y405" s="75"/>
      <c r="Z405" s="75"/>
      <c r="AD405" s="21" t="s">
        <v>35</v>
      </c>
      <c r="AE405" s="19" t="s">
        <v>36</v>
      </c>
    </row>
    <row r="406" spans="1:31" ht="14.4" x14ac:dyDescent="0.3">
      <c r="A406" s="6">
        <v>4512</v>
      </c>
      <c r="B406" s="7" t="s">
        <v>47</v>
      </c>
      <c r="C406" s="8">
        <v>847</v>
      </c>
      <c r="D406" s="92" t="s">
        <v>32</v>
      </c>
      <c r="E406" s="6" t="s">
        <v>33</v>
      </c>
      <c r="F406" s="10">
        <v>45663</v>
      </c>
      <c r="G406" s="10">
        <v>45669</v>
      </c>
      <c r="H406" s="11">
        <v>154</v>
      </c>
      <c r="I406" s="12">
        <v>224</v>
      </c>
      <c r="J406" s="13"/>
      <c r="K406" s="36">
        <v>45671</v>
      </c>
      <c r="L406" s="11"/>
      <c r="M406" s="11"/>
      <c r="T406" s="78" t="str">
        <f t="shared" ca="1" si="184"/>
        <v/>
      </c>
      <c r="U406" s="78" t="str">
        <f t="shared" ref="U406:U409" ca="1" si="185">IF(E406="Document", IF(G406="", "", TODAY() - G406), "")</f>
        <v/>
      </c>
      <c r="V406" s="78"/>
      <c r="W406" s="78"/>
      <c r="X406" s="74" t="s">
        <v>34</v>
      </c>
      <c r="Y406" s="18"/>
      <c r="Z406" s="18"/>
      <c r="AA406" s="18"/>
      <c r="AD406" s="6" t="s">
        <v>35</v>
      </c>
      <c r="AE406" s="19" t="s">
        <v>36</v>
      </c>
    </row>
    <row r="407" spans="1:31" ht="14.4" x14ac:dyDescent="0.3">
      <c r="A407" s="6">
        <v>4548</v>
      </c>
      <c r="B407" s="7" t="s">
        <v>438</v>
      </c>
      <c r="C407" s="8">
        <v>847</v>
      </c>
      <c r="D407" s="92" t="s">
        <v>32</v>
      </c>
      <c r="E407" s="6" t="s">
        <v>33</v>
      </c>
      <c r="F407" s="10">
        <v>45691</v>
      </c>
      <c r="G407" s="10">
        <v>45696</v>
      </c>
      <c r="H407" s="11">
        <v>229</v>
      </c>
      <c r="I407" s="12">
        <v>229</v>
      </c>
      <c r="J407" s="13"/>
      <c r="K407" s="36">
        <v>45698</v>
      </c>
      <c r="L407" s="11"/>
      <c r="M407" s="11"/>
      <c r="T407" s="78" t="str">
        <f t="shared" ref="T407:T409" ca="1" si="186">IF($U407="","",IF($U407&lt;=3,"Excellent",IF($U407&lt;=7,"Good",IF($U407&lt;=14,"Average",IF($U407&lt;=30,"Poor",IF($U407&gt;=30,"Bad"))))))</f>
        <v/>
      </c>
      <c r="U407" s="78" t="str">
        <f t="shared" ca="1" si="185"/>
        <v/>
      </c>
      <c r="V407" s="78"/>
      <c r="W407" s="78"/>
      <c r="X407" s="74" t="s">
        <v>34</v>
      </c>
      <c r="Y407" s="18"/>
      <c r="Z407" s="18"/>
      <c r="AA407" s="18"/>
      <c r="AD407" s="6" t="s">
        <v>35</v>
      </c>
      <c r="AE407" s="19" t="s">
        <v>36</v>
      </c>
    </row>
    <row r="408" spans="1:31" ht="14.4" x14ac:dyDescent="0.3">
      <c r="A408" s="6">
        <v>4684</v>
      </c>
      <c r="B408" s="7" t="s">
        <v>439</v>
      </c>
      <c r="C408" s="8">
        <v>847</v>
      </c>
      <c r="D408" s="92" t="s">
        <v>76</v>
      </c>
      <c r="E408" s="6" t="s">
        <v>33</v>
      </c>
      <c r="F408" s="10">
        <v>45818</v>
      </c>
      <c r="G408" s="10">
        <v>45818</v>
      </c>
      <c r="H408" s="11">
        <v>28</v>
      </c>
      <c r="I408" s="12">
        <v>28</v>
      </c>
      <c r="J408" s="13"/>
      <c r="K408" s="14">
        <v>45821</v>
      </c>
      <c r="L408" s="11"/>
      <c r="M408" s="11"/>
      <c r="T408" s="78" t="str">
        <f t="shared" ca="1" si="186"/>
        <v/>
      </c>
      <c r="U408" s="78" t="str">
        <f t="shared" ca="1" si="185"/>
        <v/>
      </c>
      <c r="V408" s="78"/>
      <c r="W408" s="78"/>
      <c r="X408" s="74" t="s">
        <v>34</v>
      </c>
      <c r="Y408" s="18"/>
      <c r="Z408" s="18"/>
      <c r="AA408" s="18"/>
      <c r="AD408" s="6" t="s">
        <v>35</v>
      </c>
      <c r="AE408" s="19" t="s">
        <v>36</v>
      </c>
    </row>
    <row r="409" spans="1:31" ht="14.4" x14ac:dyDescent="0.3">
      <c r="A409" s="6">
        <v>4689</v>
      </c>
      <c r="B409" s="20" t="s">
        <v>84</v>
      </c>
      <c r="C409" s="8">
        <v>847</v>
      </c>
      <c r="D409" s="92" t="s">
        <v>38</v>
      </c>
      <c r="E409" s="6" t="s">
        <v>33</v>
      </c>
      <c r="F409" s="10">
        <v>45831</v>
      </c>
      <c r="G409" s="10">
        <v>45834</v>
      </c>
      <c r="H409" s="11">
        <v>301</v>
      </c>
      <c r="I409" s="12">
        <v>301</v>
      </c>
      <c r="J409" s="13"/>
      <c r="K409" s="14">
        <v>45837</v>
      </c>
      <c r="L409" s="11"/>
      <c r="M409" s="11"/>
      <c r="T409" s="78" t="str">
        <f t="shared" ca="1" si="186"/>
        <v/>
      </c>
      <c r="U409" s="78" t="str">
        <f t="shared" ca="1" si="185"/>
        <v/>
      </c>
      <c r="V409" s="78"/>
      <c r="W409" s="74" t="s">
        <v>106</v>
      </c>
      <c r="X409" s="74" t="s">
        <v>40</v>
      </c>
      <c r="Y409" s="18"/>
      <c r="Z409" s="18"/>
      <c r="AA409" s="18"/>
      <c r="AD409" s="6" t="s">
        <v>35</v>
      </c>
      <c r="AE409" s="19" t="s">
        <v>36</v>
      </c>
    </row>
    <row r="410" spans="1:31" ht="14.4" x14ac:dyDescent="0.3">
      <c r="A410" s="8">
        <v>4991</v>
      </c>
      <c r="B410" s="43" t="s">
        <v>440</v>
      </c>
      <c r="C410" s="8">
        <v>849</v>
      </c>
      <c r="D410" s="95" t="s">
        <v>69</v>
      </c>
      <c r="E410" s="8" t="s">
        <v>33</v>
      </c>
      <c r="F410" s="45">
        <v>46028</v>
      </c>
      <c r="G410" s="45">
        <v>46028</v>
      </c>
      <c r="H410" s="46">
        <v>85</v>
      </c>
      <c r="I410" s="47">
        <v>85</v>
      </c>
      <c r="J410" s="8"/>
      <c r="K410" s="48">
        <v>46028</v>
      </c>
      <c r="L410" s="46"/>
      <c r="M410" s="46"/>
      <c r="N410" s="87"/>
      <c r="O410" s="87"/>
      <c r="P410" s="87"/>
      <c r="Q410" s="88"/>
      <c r="R410" s="88" t="str">
        <f>IF(Q410,Q410-K410,"")</f>
        <v/>
      </c>
      <c r="S410" s="88" t="str">
        <f>IF(R410="","",IF(R410&lt;=4,"Excellent",IF(R410&lt;=8,"Good",IF(R410&lt;=15,"Average",IF(R410&lt;=30,"Poor",IF(R410&gt;=30,"Bad"))))))</f>
        <v/>
      </c>
      <c r="T410" s="72" t="str">
        <f ca="1">IF(U410="","",IF(U410&lt;=3,"Excellent",IF(U410&lt;=7,"Good",IF(U410&lt;=14,"Average",IF(U410&lt;=30,"Poor",IF(U410&gt;=30,"Bad"))))))</f>
        <v/>
      </c>
      <c r="U410" s="73" t="str">
        <f ca="1">IF(E410="Document", IF(#REF!="", "", TODAY() -#REF!), "")</f>
        <v/>
      </c>
      <c r="V410" s="73"/>
      <c r="W410" s="74" t="s">
        <v>109</v>
      </c>
      <c r="X410" s="74" t="s">
        <v>110</v>
      </c>
      <c r="Y410" s="89"/>
      <c r="Z410" s="89"/>
      <c r="AD410" s="8" t="s">
        <v>35</v>
      </c>
      <c r="AE410" s="19" t="s">
        <v>36</v>
      </c>
    </row>
    <row r="411" spans="1:31" ht="14.4" x14ac:dyDescent="0.3">
      <c r="A411" s="21">
        <v>4704</v>
      </c>
      <c r="B411" s="55" t="s">
        <v>47</v>
      </c>
      <c r="C411" s="8">
        <v>849</v>
      </c>
      <c r="D411" s="92" t="s">
        <v>32</v>
      </c>
      <c r="E411" s="21" t="s">
        <v>33</v>
      </c>
      <c r="F411" s="10">
        <v>45873</v>
      </c>
      <c r="G411" s="10">
        <v>45877</v>
      </c>
      <c r="H411" s="22">
        <v>325</v>
      </c>
      <c r="I411" s="23">
        <v>335</v>
      </c>
      <c r="J411" s="24"/>
      <c r="K411" s="14">
        <v>45880</v>
      </c>
      <c r="L411" s="22"/>
      <c r="M411" s="22"/>
      <c r="T411" s="82" t="str">
        <f t="shared" ref="T411:T413" ca="1" si="187">IF($U411="","",IF($U411&lt;=3,"Excellent",IF($U411&lt;=7,"Good",IF($U411&lt;=14,"Average",IF($U411&lt;=30,"Poor",IF($U411&gt;=30,"Bad"))))))</f>
        <v/>
      </c>
      <c r="U411" s="82" t="str">
        <f t="shared" ref="U411:U413" ca="1" si="188">IF(E411="Document", IF(G411="", "", TODAY() - G411), "")</f>
        <v/>
      </c>
      <c r="V411" s="75">
        <f>1</f>
        <v>1</v>
      </c>
      <c r="W411" s="83" t="s">
        <v>441</v>
      </c>
      <c r="X411" s="83" t="s">
        <v>442</v>
      </c>
      <c r="Y411" s="28"/>
      <c r="Z411" s="28"/>
      <c r="AA411" s="28"/>
      <c r="AD411" s="21" t="s">
        <v>35</v>
      </c>
      <c r="AE411" s="19" t="s">
        <v>36</v>
      </c>
    </row>
    <row r="412" spans="1:31" ht="14.4" x14ac:dyDescent="0.3">
      <c r="A412" s="21">
        <v>4790</v>
      </c>
      <c r="B412" s="55" t="s">
        <v>443</v>
      </c>
      <c r="C412" s="8">
        <v>849</v>
      </c>
      <c r="D412" s="92" t="s">
        <v>69</v>
      </c>
      <c r="E412" s="21" t="s">
        <v>33</v>
      </c>
      <c r="F412" s="10">
        <v>45882</v>
      </c>
      <c r="G412" s="10">
        <v>45882</v>
      </c>
      <c r="H412" s="25"/>
      <c r="I412" s="39"/>
      <c r="J412" s="40"/>
      <c r="K412" s="14">
        <v>45882</v>
      </c>
      <c r="L412" s="22"/>
      <c r="M412" s="22"/>
      <c r="T412" s="82" t="str">
        <f t="shared" ca="1" si="187"/>
        <v/>
      </c>
      <c r="U412" s="82" t="str">
        <f t="shared" ca="1" si="188"/>
        <v/>
      </c>
      <c r="V412" s="75">
        <f>67</f>
        <v>67</v>
      </c>
      <c r="W412" s="82"/>
      <c r="X412" s="83" t="s">
        <v>171</v>
      </c>
      <c r="Y412" s="28"/>
      <c r="Z412" s="28"/>
      <c r="AA412" s="28"/>
      <c r="AD412" s="21" t="s">
        <v>35</v>
      </c>
      <c r="AE412" s="19" t="s">
        <v>36</v>
      </c>
    </row>
    <row r="413" spans="1:31" ht="14.4" x14ac:dyDescent="0.3">
      <c r="A413" s="21">
        <v>4802</v>
      </c>
      <c r="B413" s="55" t="s">
        <v>444</v>
      </c>
      <c r="C413" s="8">
        <v>849</v>
      </c>
      <c r="D413" s="92" t="s">
        <v>38</v>
      </c>
      <c r="E413" s="21" t="s">
        <v>33</v>
      </c>
      <c r="F413" s="10">
        <v>45894</v>
      </c>
      <c r="G413" s="10">
        <v>45898</v>
      </c>
      <c r="H413" s="22">
        <v>249</v>
      </c>
      <c r="I413" s="23">
        <v>294</v>
      </c>
      <c r="J413" s="24"/>
      <c r="K413" s="14">
        <v>45901</v>
      </c>
      <c r="L413" s="22"/>
      <c r="M413" s="22"/>
      <c r="T413" s="82" t="str">
        <f t="shared" ca="1" si="187"/>
        <v/>
      </c>
      <c r="U413" s="82" t="str">
        <f t="shared" ca="1" si="188"/>
        <v/>
      </c>
      <c r="V413" s="82"/>
      <c r="W413" s="83" t="s">
        <v>246</v>
      </c>
      <c r="X413" s="83" t="s">
        <v>445</v>
      </c>
      <c r="Y413" s="28"/>
      <c r="Z413" s="28"/>
      <c r="AA413" s="28"/>
      <c r="AD413" s="21" t="s">
        <v>35</v>
      </c>
      <c r="AE413" s="19" t="s">
        <v>36</v>
      </c>
    </row>
    <row r="414" spans="1:31" ht="14.4" x14ac:dyDescent="0.3">
      <c r="A414" s="21">
        <v>5066</v>
      </c>
      <c r="B414" s="26" t="s">
        <v>446</v>
      </c>
      <c r="C414" s="8">
        <v>850</v>
      </c>
      <c r="D414" s="92" t="s">
        <v>38</v>
      </c>
      <c r="E414" s="6" t="s">
        <v>33</v>
      </c>
      <c r="F414" s="27">
        <v>46075</v>
      </c>
      <c r="G414" s="27">
        <v>46081</v>
      </c>
      <c r="H414" s="29">
        <v>350</v>
      </c>
      <c r="I414" s="30">
        <v>350</v>
      </c>
      <c r="J414" s="21"/>
      <c r="K414" s="31">
        <v>46084</v>
      </c>
      <c r="L414" s="29"/>
      <c r="M414" s="29"/>
      <c r="N414" s="69">
        <v>46085</v>
      </c>
      <c r="O414" s="70"/>
      <c r="P414" s="70"/>
      <c r="Q414" s="71"/>
      <c r="R414" s="71" t="str">
        <f>IF(Q414,Q414-K414,"")</f>
        <v/>
      </c>
      <c r="S414" s="71" t="str">
        <f>IF(R414="","",IF(R414&lt;=4,"Excellent",IF(R414&lt;=8,"Good",IF(R414&lt;=15,"Average",IF(R414&lt;=30,"Poor",IF(R414&gt;=30,"Bad"))))))</f>
        <v/>
      </c>
      <c r="T414" s="68" t="str">
        <f ca="1">IF(U414="","",IF(U414&lt;=3,"Excellent",IF(U414&lt;=7,"Good",IF(U414&lt;=14,"Average",IF(U414&lt;=30,"Poor",IF(U414&gt;=30,"Bad"))))))</f>
        <v/>
      </c>
      <c r="U414" s="68" t="str">
        <f ca="1">IF(E414="Document", IF(#REF!="", "", TODAY() -#REF!), "")</f>
        <v/>
      </c>
      <c r="V414" s="68"/>
      <c r="W414" s="78" t="s">
        <v>277</v>
      </c>
      <c r="X414" s="78" t="s">
        <v>72</v>
      </c>
      <c r="Y414" s="75"/>
      <c r="Z414" s="75"/>
      <c r="AD414" s="21" t="s">
        <v>35</v>
      </c>
      <c r="AE414" s="19" t="s">
        <v>36</v>
      </c>
    </row>
    <row r="415" spans="1:31" ht="14.4" x14ac:dyDescent="0.3">
      <c r="A415" s="6">
        <v>4543</v>
      </c>
      <c r="B415" s="7" t="s">
        <v>47</v>
      </c>
      <c r="C415" s="8">
        <v>850</v>
      </c>
      <c r="D415" s="92" t="s">
        <v>32</v>
      </c>
      <c r="E415" s="6" t="s">
        <v>33</v>
      </c>
      <c r="F415" s="10">
        <v>45691</v>
      </c>
      <c r="G415" s="10">
        <v>45696</v>
      </c>
      <c r="H415" s="11">
        <v>332</v>
      </c>
      <c r="I415" s="12">
        <v>332</v>
      </c>
      <c r="J415" s="13"/>
      <c r="K415" s="36">
        <v>45696</v>
      </c>
      <c r="L415" s="11"/>
      <c r="M415" s="11"/>
      <c r="T415" s="78" t="str">
        <f t="shared" ref="T415:T423" ca="1" si="189">IF($U415="","",IF($U415&lt;=3,"Excellent",IF($U415&lt;=7,"Good",IF($U415&lt;=14,"Average",IF($U415&lt;=30,"Poor",IF($U415&gt;=30,"Bad"))))))</f>
        <v/>
      </c>
      <c r="U415" s="78" t="str">
        <f t="shared" ref="U415:U424" ca="1" si="190">IF(E415="Document", IF(G415="", "", TODAY() - G415), "")</f>
        <v/>
      </c>
      <c r="V415" s="78"/>
      <c r="W415" s="78"/>
      <c r="X415" s="74" t="s">
        <v>34</v>
      </c>
      <c r="Y415" s="18"/>
      <c r="Z415" s="18"/>
      <c r="AA415" s="18"/>
      <c r="AD415" s="6" t="s">
        <v>35</v>
      </c>
      <c r="AE415" s="19" t="s">
        <v>36</v>
      </c>
    </row>
    <row r="416" spans="1:31" ht="14.4" x14ac:dyDescent="0.3">
      <c r="A416" s="21">
        <v>4797</v>
      </c>
      <c r="B416" s="55" t="s">
        <v>327</v>
      </c>
      <c r="C416" s="8">
        <v>850</v>
      </c>
      <c r="D416" s="92" t="s">
        <v>57</v>
      </c>
      <c r="E416" s="21" t="s">
        <v>33</v>
      </c>
      <c r="F416" s="10">
        <v>45882</v>
      </c>
      <c r="G416" s="10">
        <v>45882</v>
      </c>
      <c r="H416" s="22">
        <v>15</v>
      </c>
      <c r="I416" s="23">
        <v>25</v>
      </c>
      <c r="J416" s="24"/>
      <c r="K416" s="14">
        <v>45883</v>
      </c>
      <c r="L416" s="22"/>
      <c r="M416" s="22"/>
      <c r="T416" s="82" t="str">
        <f t="shared" ca="1" si="189"/>
        <v/>
      </c>
      <c r="U416" s="82" t="str">
        <f t="shared" ca="1" si="190"/>
        <v/>
      </c>
      <c r="V416" s="82"/>
      <c r="W416" s="83" t="s">
        <v>195</v>
      </c>
      <c r="X416" s="83" t="s">
        <v>123</v>
      </c>
      <c r="Y416" s="28"/>
      <c r="Z416" s="28"/>
      <c r="AA416" s="28"/>
      <c r="AD416" s="21" t="s">
        <v>35</v>
      </c>
      <c r="AE416" s="19" t="s">
        <v>36</v>
      </c>
    </row>
    <row r="417" spans="1:31" ht="14.4" x14ac:dyDescent="0.3">
      <c r="A417" s="6">
        <v>4625</v>
      </c>
      <c r="B417" s="7" t="s">
        <v>47</v>
      </c>
      <c r="C417" s="8">
        <v>855</v>
      </c>
      <c r="D417" s="92" t="s">
        <v>32</v>
      </c>
      <c r="E417" s="6" t="s">
        <v>46</v>
      </c>
      <c r="F417" s="10">
        <v>45796</v>
      </c>
      <c r="G417" s="10">
        <v>45809</v>
      </c>
      <c r="H417" s="16"/>
      <c r="I417" s="53"/>
      <c r="J417" s="54"/>
      <c r="K417" s="41"/>
      <c r="L417" s="11"/>
      <c r="M417" s="11"/>
      <c r="T417" s="77" t="str">
        <f t="shared" ca="1" si="189"/>
        <v>Bad</v>
      </c>
      <c r="U417" s="73">
        <f t="shared" ca="1" si="190"/>
        <v>326</v>
      </c>
      <c r="V417" s="73">
        <f>109</f>
        <v>109</v>
      </c>
      <c r="W417" s="78"/>
      <c r="X417" s="78"/>
      <c r="Y417" s="18"/>
      <c r="Z417" s="18"/>
      <c r="AA417" s="18"/>
      <c r="AD417" s="6" t="s">
        <v>35</v>
      </c>
      <c r="AE417" s="19" t="s">
        <v>36</v>
      </c>
    </row>
    <row r="418" spans="1:31" ht="14.4" x14ac:dyDescent="0.3">
      <c r="A418" s="21">
        <v>4749</v>
      </c>
      <c r="B418" s="7" t="s">
        <v>447</v>
      </c>
      <c r="C418" s="8">
        <v>863</v>
      </c>
      <c r="D418" s="92" t="s">
        <v>32</v>
      </c>
      <c r="E418" s="21" t="s">
        <v>33</v>
      </c>
      <c r="F418" s="10">
        <v>45869</v>
      </c>
      <c r="G418" s="63">
        <v>45877</v>
      </c>
      <c r="H418" s="22">
        <v>294</v>
      </c>
      <c r="I418" s="23">
        <v>304</v>
      </c>
      <c r="J418" s="24"/>
      <c r="K418" s="14">
        <v>45880</v>
      </c>
      <c r="L418" s="22"/>
      <c r="M418" s="22"/>
      <c r="T418" s="82" t="str">
        <f t="shared" ca="1" si="189"/>
        <v/>
      </c>
      <c r="U418" s="82" t="str">
        <f t="shared" ca="1" si="190"/>
        <v/>
      </c>
      <c r="V418" s="82"/>
      <c r="W418" s="83" t="s">
        <v>448</v>
      </c>
      <c r="X418" s="83" t="s">
        <v>100</v>
      </c>
      <c r="Y418" s="28"/>
      <c r="Z418" s="28"/>
      <c r="AA418" s="28"/>
      <c r="AD418" s="21" t="s">
        <v>35</v>
      </c>
      <c r="AE418" s="19" t="s">
        <v>36</v>
      </c>
    </row>
    <row r="419" spans="1:31" ht="14.4" x14ac:dyDescent="0.3">
      <c r="A419" s="6">
        <v>4583</v>
      </c>
      <c r="B419" s="7" t="s">
        <v>449</v>
      </c>
      <c r="C419" s="8">
        <v>869</v>
      </c>
      <c r="D419" s="92" t="s">
        <v>76</v>
      </c>
      <c r="E419" s="6" t="s">
        <v>33</v>
      </c>
      <c r="F419" s="10">
        <v>45708</v>
      </c>
      <c r="G419" s="10">
        <v>45709</v>
      </c>
      <c r="H419" s="11">
        <v>24</v>
      </c>
      <c r="I419" s="12">
        <v>24</v>
      </c>
      <c r="J419" s="13"/>
      <c r="K419" s="36">
        <v>45713</v>
      </c>
      <c r="L419" s="11"/>
      <c r="M419" s="11"/>
      <c r="T419" s="78" t="str">
        <f t="shared" ca="1" si="189"/>
        <v/>
      </c>
      <c r="U419" s="78" t="str">
        <f t="shared" ca="1" si="190"/>
        <v/>
      </c>
      <c r="V419" s="78"/>
      <c r="W419" s="78"/>
      <c r="X419" s="74" t="s">
        <v>34</v>
      </c>
      <c r="Y419" s="18"/>
      <c r="Z419" s="18"/>
      <c r="AA419" s="18"/>
      <c r="AD419" s="6" t="s">
        <v>35</v>
      </c>
      <c r="AE419" s="19" t="s">
        <v>36</v>
      </c>
    </row>
    <row r="420" spans="1:31" ht="14.4" x14ac:dyDescent="0.3">
      <c r="A420" s="6">
        <v>4678</v>
      </c>
      <c r="B420" s="7" t="s">
        <v>95</v>
      </c>
      <c r="C420" s="8">
        <v>869</v>
      </c>
      <c r="D420" s="92" t="s">
        <v>32</v>
      </c>
      <c r="E420" s="6" t="s">
        <v>33</v>
      </c>
      <c r="F420" s="10">
        <v>45817</v>
      </c>
      <c r="G420" s="10">
        <v>45822</v>
      </c>
      <c r="H420" s="11">
        <v>149</v>
      </c>
      <c r="I420" s="12">
        <v>209</v>
      </c>
      <c r="J420" s="13"/>
      <c r="K420" s="14">
        <v>45825</v>
      </c>
      <c r="L420" s="11"/>
      <c r="M420" s="11"/>
      <c r="T420" s="78" t="str">
        <f t="shared" ca="1" si="189"/>
        <v/>
      </c>
      <c r="U420" s="78" t="str">
        <f t="shared" ca="1" si="190"/>
        <v/>
      </c>
      <c r="V420" s="78"/>
      <c r="W420" s="78"/>
      <c r="X420" s="74" t="s">
        <v>34</v>
      </c>
      <c r="Y420" s="18"/>
      <c r="Z420" s="18"/>
      <c r="AA420" s="18"/>
      <c r="AD420" s="6" t="s">
        <v>55</v>
      </c>
      <c r="AE420" s="19" t="s">
        <v>36</v>
      </c>
    </row>
    <row r="421" spans="1:31" ht="14.4" x14ac:dyDescent="0.3">
      <c r="A421" s="21">
        <v>4775</v>
      </c>
      <c r="B421" s="55" t="s">
        <v>37</v>
      </c>
      <c r="C421" s="8">
        <v>871</v>
      </c>
      <c r="D421" s="92" t="s">
        <v>38</v>
      </c>
      <c r="E421" s="21" t="s">
        <v>33</v>
      </c>
      <c r="F421" s="10">
        <v>45880</v>
      </c>
      <c r="G421" s="10">
        <v>45891</v>
      </c>
      <c r="H421" s="22">
        <v>249</v>
      </c>
      <c r="I421" s="23">
        <v>269</v>
      </c>
      <c r="J421" s="24"/>
      <c r="K421" s="14">
        <v>45894</v>
      </c>
      <c r="L421" s="22"/>
      <c r="M421" s="22"/>
      <c r="T421" s="82" t="str">
        <f t="shared" ca="1" si="189"/>
        <v/>
      </c>
      <c r="U421" s="82" t="str">
        <f t="shared" ca="1" si="190"/>
        <v/>
      </c>
      <c r="V421" s="82"/>
      <c r="W421" s="83" t="s">
        <v>371</v>
      </c>
      <c r="X421" s="83" t="s">
        <v>257</v>
      </c>
      <c r="Y421" s="28"/>
      <c r="Z421" s="28"/>
      <c r="AA421" s="28"/>
      <c r="AD421" s="21" t="s">
        <v>35</v>
      </c>
      <c r="AE421" s="19" t="s">
        <v>36</v>
      </c>
    </row>
    <row r="422" spans="1:31" ht="14.4" x14ac:dyDescent="0.3">
      <c r="A422" s="6">
        <v>4641</v>
      </c>
      <c r="B422" s="7" t="s">
        <v>47</v>
      </c>
      <c r="C422" s="8">
        <v>872</v>
      </c>
      <c r="D422" s="92" t="s">
        <v>32</v>
      </c>
      <c r="E422" s="6" t="s">
        <v>33</v>
      </c>
      <c r="F422" s="10">
        <v>45793</v>
      </c>
      <c r="G422" s="10">
        <v>45805</v>
      </c>
      <c r="H422" s="11">
        <v>241</v>
      </c>
      <c r="I422" s="12">
        <v>256</v>
      </c>
      <c r="J422" s="13"/>
      <c r="K422" s="14">
        <v>45806</v>
      </c>
      <c r="L422" s="11"/>
      <c r="M422" s="11"/>
      <c r="T422" s="78" t="str">
        <f t="shared" ca="1" si="189"/>
        <v/>
      </c>
      <c r="U422" s="78" t="str">
        <f t="shared" ca="1" si="190"/>
        <v/>
      </c>
      <c r="V422" s="78"/>
      <c r="W422" s="78"/>
      <c r="X422" s="74" t="s">
        <v>34</v>
      </c>
      <c r="Y422" s="18"/>
      <c r="Z422" s="18"/>
      <c r="AA422" s="18"/>
      <c r="AD422" s="6" t="s">
        <v>35</v>
      </c>
      <c r="AE422" s="19" t="s">
        <v>36</v>
      </c>
    </row>
    <row r="423" spans="1:31" ht="14.4" x14ac:dyDescent="0.3">
      <c r="A423" s="21">
        <v>4910</v>
      </c>
      <c r="B423" s="37" t="s">
        <v>185</v>
      </c>
      <c r="C423" s="8">
        <v>877</v>
      </c>
      <c r="D423" s="92" t="s">
        <v>57</v>
      </c>
      <c r="E423" s="21" t="s">
        <v>77</v>
      </c>
      <c r="F423" s="38">
        <v>45981</v>
      </c>
      <c r="G423" s="38">
        <v>45981</v>
      </c>
      <c r="H423" s="25"/>
      <c r="I423" s="39"/>
      <c r="J423" s="40"/>
      <c r="K423" s="14">
        <v>45981</v>
      </c>
      <c r="L423" s="22"/>
      <c r="M423" s="22"/>
      <c r="T423" s="82" t="str">
        <f t="shared" ca="1" si="189"/>
        <v/>
      </c>
      <c r="U423" s="82" t="str">
        <f t="shared" ca="1" si="190"/>
        <v/>
      </c>
      <c r="V423" s="82"/>
      <c r="W423" s="83" t="s">
        <v>450</v>
      </c>
      <c r="X423" s="82"/>
      <c r="Y423" s="28"/>
      <c r="Z423" s="28"/>
      <c r="AA423" s="28"/>
      <c r="AD423" s="21" t="s">
        <v>35</v>
      </c>
      <c r="AE423" s="19" t="s">
        <v>36</v>
      </c>
    </row>
    <row r="424" spans="1:31" ht="14.4" x14ac:dyDescent="0.3">
      <c r="A424" s="8">
        <v>4997</v>
      </c>
      <c r="B424" s="43" t="s">
        <v>451</v>
      </c>
      <c r="C424" s="8">
        <v>880</v>
      </c>
      <c r="D424" s="95" t="s">
        <v>32</v>
      </c>
      <c r="E424" s="8" t="s">
        <v>46</v>
      </c>
      <c r="F424" s="45">
        <v>46031</v>
      </c>
      <c r="G424" s="45">
        <v>46031</v>
      </c>
      <c r="H424" s="46"/>
      <c r="I424" s="47"/>
      <c r="J424" s="8"/>
      <c r="K424" s="48"/>
      <c r="L424" s="46"/>
      <c r="M424" s="46"/>
      <c r="N424" s="87"/>
      <c r="O424" s="87"/>
      <c r="P424" s="87"/>
      <c r="Q424" s="88"/>
      <c r="R424" s="88" t="str">
        <f t="shared" ref="R424:R426" si="191">IF(Q424,Q424-K424,"")</f>
        <v/>
      </c>
      <c r="S424" s="88" t="str">
        <f t="shared" ref="S424:S426" si="192">IF(R424="","",IF(R424&lt;=4,"Excellent",IF(R424&lt;=8,"Good",IF(R424&lt;=15,"Average",IF(R424&lt;=30,"Poor",IF(R424&gt;=30,"Bad"))))))</f>
        <v/>
      </c>
      <c r="T424" s="72" t="str">
        <f t="shared" ref="T424:T426" ca="1" si="193">IF(U424="","",IF(U424&lt;=3,"Excellent",IF(U424&lt;=7,"Good",IF(U424&lt;=14,"Average",IF(U424&lt;=30,"Poor",IF(U424&gt;=30,"Bad"))))))</f>
        <v>Bad</v>
      </c>
      <c r="U424" s="21">
        <f t="shared" ca="1" si="190"/>
        <v>104</v>
      </c>
      <c r="V424" s="73">
        <f>40</f>
        <v>40</v>
      </c>
      <c r="W424" s="74"/>
      <c r="X424" s="74"/>
      <c r="Y424" s="89"/>
      <c r="Z424" s="89"/>
      <c r="AD424" s="8" t="s">
        <v>35</v>
      </c>
      <c r="AE424" s="19" t="s">
        <v>36</v>
      </c>
    </row>
    <row r="425" spans="1:31" ht="14.4" x14ac:dyDescent="0.3">
      <c r="A425" s="21">
        <v>5042</v>
      </c>
      <c r="B425" s="26" t="s">
        <v>339</v>
      </c>
      <c r="C425" s="8">
        <v>880</v>
      </c>
      <c r="D425" s="92" t="s">
        <v>32</v>
      </c>
      <c r="E425" s="21" t="s">
        <v>33</v>
      </c>
      <c r="F425" s="27">
        <v>46055</v>
      </c>
      <c r="G425" s="27">
        <v>46060</v>
      </c>
      <c r="H425" s="29">
        <v>201</v>
      </c>
      <c r="I425" s="30">
        <v>266</v>
      </c>
      <c r="J425" s="21"/>
      <c r="K425" s="31">
        <v>46062</v>
      </c>
      <c r="L425" s="29"/>
      <c r="M425" s="29"/>
      <c r="N425" s="69">
        <v>46062</v>
      </c>
      <c r="O425" s="70"/>
      <c r="P425" s="70"/>
      <c r="Q425" s="71"/>
      <c r="R425" s="71" t="str">
        <f t="shared" si="191"/>
        <v/>
      </c>
      <c r="S425" s="71" t="str">
        <f t="shared" si="192"/>
        <v/>
      </c>
      <c r="T425" s="68" t="str">
        <f t="shared" ca="1" si="193"/>
        <v/>
      </c>
      <c r="U425" s="68" t="str">
        <f ca="1">IF(E425="Document", IF(#REF!="", "", TODAY() -#REF!), "")</f>
        <v/>
      </c>
      <c r="V425" s="68"/>
      <c r="W425" s="78" t="s">
        <v>333</v>
      </c>
      <c r="X425" s="78" t="s">
        <v>138</v>
      </c>
      <c r="Y425" s="75"/>
      <c r="Z425" s="75"/>
      <c r="AD425" s="21" t="s">
        <v>35</v>
      </c>
      <c r="AE425" s="19" t="s">
        <v>36</v>
      </c>
    </row>
    <row r="426" spans="1:31" ht="14.4" x14ac:dyDescent="0.3">
      <c r="A426" s="21">
        <v>5113</v>
      </c>
      <c r="B426" s="26" t="s">
        <v>452</v>
      </c>
      <c r="C426" s="8">
        <v>880</v>
      </c>
      <c r="D426" s="92" t="s">
        <v>38</v>
      </c>
      <c r="E426" s="6" t="s">
        <v>33</v>
      </c>
      <c r="F426" s="27">
        <v>46112</v>
      </c>
      <c r="G426" s="27">
        <v>46113</v>
      </c>
      <c r="H426" s="29">
        <v>244</v>
      </c>
      <c r="I426" s="30">
        <v>244</v>
      </c>
      <c r="J426" s="21"/>
      <c r="K426" s="31">
        <v>46120</v>
      </c>
      <c r="L426" s="29"/>
      <c r="M426" s="29"/>
      <c r="N426" s="69">
        <v>46120</v>
      </c>
      <c r="O426" s="70"/>
      <c r="P426" s="70"/>
      <c r="Q426" s="71"/>
      <c r="R426" s="71" t="str">
        <f t="shared" si="191"/>
        <v/>
      </c>
      <c r="S426" s="71" t="str">
        <f t="shared" si="192"/>
        <v/>
      </c>
      <c r="T426" s="68" t="str">
        <f t="shared" ca="1" si="193"/>
        <v/>
      </c>
      <c r="U426" s="68" t="str">
        <f ca="1">IF(E426="Document", IF(#REF!="", "", TODAY() -#REF!), "")</f>
        <v/>
      </c>
      <c r="V426" s="68">
        <f>5</f>
        <v>5</v>
      </c>
      <c r="W426" s="78" t="s">
        <v>453</v>
      </c>
      <c r="X426" s="78" t="s">
        <v>453</v>
      </c>
      <c r="Y426" s="75"/>
      <c r="Z426" s="75"/>
      <c r="AD426" s="21" t="s">
        <v>35</v>
      </c>
      <c r="AE426" s="19" t="s">
        <v>36</v>
      </c>
    </row>
    <row r="427" spans="1:31" ht="14.4" x14ac:dyDescent="0.3">
      <c r="A427" s="6">
        <v>4679</v>
      </c>
      <c r="B427" s="7" t="s">
        <v>47</v>
      </c>
      <c r="C427" s="8">
        <v>880</v>
      </c>
      <c r="D427" s="92" t="s">
        <v>32</v>
      </c>
      <c r="E427" s="6" t="s">
        <v>33</v>
      </c>
      <c r="F427" s="10">
        <v>45817</v>
      </c>
      <c r="G427" s="10">
        <v>45823</v>
      </c>
      <c r="H427" s="11">
        <v>334</v>
      </c>
      <c r="I427" s="12">
        <v>349</v>
      </c>
      <c r="J427" s="13"/>
      <c r="K427" s="14">
        <v>45824</v>
      </c>
      <c r="L427" s="11"/>
      <c r="M427" s="11"/>
      <c r="T427" s="78" t="str">
        <f ca="1">IF($U427="","",IF($U427&lt;=3,"Excellent",IF($U427&lt;=7,"Good",IF($U427&lt;=14,"Average",IF($U427&lt;=30,"Poor",IF($U427&gt;=30,"Bad"))))))</f>
        <v/>
      </c>
      <c r="U427" s="78" t="str">
        <f ca="1">IF(E427="Document", IF(G427="", "", TODAY() - G427), "")</f>
        <v/>
      </c>
      <c r="V427" s="78"/>
      <c r="W427" s="78"/>
      <c r="X427" s="74" t="s">
        <v>34</v>
      </c>
      <c r="Y427" s="18"/>
      <c r="Z427" s="18"/>
      <c r="AA427" s="18"/>
      <c r="AD427" s="6" t="s">
        <v>35</v>
      </c>
      <c r="AE427" s="19" t="s">
        <v>36</v>
      </c>
    </row>
    <row r="428" spans="1:31" ht="14.4" x14ac:dyDescent="0.3">
      <c r="A428" s="21">
        <v>5085</v>
      </c>
      <c r="B428" s="26" t="s">
        <v>454</v>
      </c>
      <c r="C428" s="8">
        <v>882</v>
      </c>
      <c r="D428" s="92" t="s">
        <v>32</v>
      </c>
      <c r="E428" s="59" t="s">
        <v>46</v>
      </c>
      <c r="F428" s="27">
        <v>46076</v>
      </c>
      <c r="G428" s="27">
        <v>46076</v>
      </c>
      <c r="H428" s="29"/>
      <c r="I428" s="30"/>
      <c r="J428" s="21"/>
      <c r="K428" s="31"/>
      <c r="L428" s="29"/>
      <c r="M428" s="29"/>
      <c r="N428" s="69"/>
      <c r="O428" s="70"/>
      <c r="P428" s="70"/>
      <c r="Q428" s="71"/>
      <c r="R428" s="71" t="str">
        <f>IF(Q428,Q428-K428,"")</f>
        <v/>
      </c>
      <c r="S428" s="71" t="str">
        <f>IF(R428="","",IF(R428&lt;=4,"Excellent",IF(R428&lt;=8,"Good",IF(R428&lt;=15,"Average",IF(R428&lt;=30,"Poor",IF(R428&gt;=30,"Bad"))))))</f>
        <v/>
      </c>
      <c r="T428" s="68" t="str">
        <f ca="1">IF(U428="","",IF(U428&lt;=3,"Excellent",IF(U428&lt;=7,"Good",IF(U428&lt;=14,"Average",IF(U428&lt;=30,"Poor",IF(U428&gt;=30,"Bad"))))))</f>
        <v>Bad</v>
      </c>
      <c r="U428" s="21">
        <f t="shared" ref="U428" ca="1" si="194">IF(E428="Document", IF(G428="", "", TODAY() - G428), "")</f>
        <v>59</v>
      </c>
      <c r="V428" s="68">
        <f>40</f>
        <v>40</v>
      </c>
      <c r="W428" s="78"/>
      <c r="X428" s="78"/>
      <c r="Y428" s="75"/>
      <c r="Z428" s="75"/>
      <c r="AD428" s="21" t="s">
        <v>35</v>
      </c>
      <c r="AE428" s="19" t="s">
        <v>36</v>
      </c>
    </row>
    <row r="429" spans="1:31" ht="14.4" x14ac:dyDescent="0.3">
      <c r="A429" s="21">
        <v>4943</v>
      </c>
      <c r="B429" s="37" t="s">
        <v>37</v>
      </c>
      <c r="C429" s="8">
        <v>882</v>
      </c>
      <c r="D429" s="92" t="s">
        <v>38</v>
      </c>
      <c r="E429" s="21" t="s">
        <v>33</v>
      </c>
      <c r="F429" s="38">
        <v>46001</v>
      </c>
      <c r="G429" s="38">
        <v>46009</v>
      </c>
      <c r="H429" s="22">
        <v>297</v>
      </c>
      <c r="I429" s="23">
        <v>307</v>
      </c>
      <c r="J429" s="24"/>
      <c r="K429" s="14">
        <v>46010</v>
      </c>
      <c r="L429" s="22"/>
      <c r="M429" s="22"/>
      <c r="T429" s="82" t="str">
        <f t="shared" ref="T429:T435" ca="1" si="195">IF($U429="","",IF($U429&lt;=3,"Excellent",IF($U429&lt;=7,"Good",IF($U429&lt;=14,"Average",IF($U429&lt;=30,"Poor",IF($U429&gt;=30,"Bad"))))))</f>
        <v/>
      </c>
      <c r="U429" s="82" t="str">
        <f t="shared" ref="U429:U435" ca="1" si="196">IF(E429="Document", IF(G429="", "", TODAY() - G429), "")</f>
        <v/>
      </c>
      <c r="V429" s="82"/>
      <c r="W429" s="83" t="s">
        <v>233</v>
      </c>
      <c r="X429" s="83" t="s">
        <v>105</v>
      </c>
      <c r="Y429" s="28"/>
      <c r="Z429" s="28"/>
      <c r="AA429" s="28"/>
      <c r="AD429" s="21" t="s">
        <v>35</v>
      </c>
      <c r="AE429" s="19" t="s">
        <v>36</v>
      </c>
    </row>
    <row r="430" spans="1:31" ht="14.4" x14ac:dyDescent="0.3">
      <c r="A430" s="6">
        <v>4582</v>
      </c>
      <c r="B430" s="7" t="s">
        <v>449</v>
      </c>
      <c r="C430" s="8">
        <v>885</v>
      </c>
      <c r="D430" s="92" t="s">
        <v>76</v>
      </c>
      <c r="E430" s="6" t="s">
        <v>33</v>
      </c>
      <c r="F430" s="10">
        <v>45708</v>
      </c>
      <c r="G430" s="10">
        <v>45709</v>
      </c>
      <c r="H430" s="11">
        <v>24</v>
      </c>
      <c r="I430" s="12">
        <v>24</v>
      </c>
      <c r="J430" s="13"/>
      <c r="K430" s="36">
        <v>45713</v>
      </c>
      <c r="L430" s="11"/>
      <c r="M430" s="11"/>
      <c r="T430" s="78" t="str">
        <f t="shared" ca="1" si="195"/>
        <v/>
      </c>
      <c r="U430" s="78" t="str">
        <f t="shared" ca="1" si="196"/>
        <v/>
      </c>
      <c r="V430" s="78"/>
      <c r="W430" s="78"/>
      <c r="X430" s="74" t="s">
        <v>34</v>
      </c>
      <c r="Y430" s="18"/>
      <c r="Z430" s="18"/>
      <c r="AA430" s="18"/>
      <c r="AD430" s="6" t="s">
        <v>35</v>
      </c>
      <c r="AE430" s="19" t="s">
        <v>36</v>
      </c>
    </row>
    <row r="431" spans="1:31" ht="14.4" x14ac:dyDescent="0.3">
      <c r="A431" s="6">
        <v>4677</v>
      </c>
      <c r="B431" s="7" t="s">
        <v>95</v>
      </c>
      <c r="C431" s="8">
        <v>885</v>
      </c>
      <c r="D431" s="92" t="s">
        <v>32</v>
      </c>
      <c r="E431" s="6" t="s">
        <v>33</v>
      </c>
      <c r="F431" s="10">
        <v>45810</v>
      </c>
      <c r="G431" s="10">
        <v>45813</v>
      </c>
      <c r="H431" s="11">
        <v>204</v>
      </c>
      <c r="I431" s="12">
        <v>249</v>
      </c>
      <c r="J431" s="13"/>
      <c r="K431" s="14">
        <v>45813</v>
      </c>
      <c r="L431" s="11"/>
      <c r="M431" s="11"/>
      <c r="T431" s="78" t="str">
        <f t="shared" ca="1" si="195"/>
        <v/>
      </c>
      <c r="U431" s="78" t="str">
        <f t="shared" ca="1" si="196"/>
        <v/>
      </c>
      <c r="V431" s="78"/>
      <c r="W431" s="78"/>
      <c r="X431" s="74" t="s">
        <v>34</v>
      </c>
      <c r="Y431" s="18"/>
      <c r="Z431" s="18"/>
      <c r="AA431" s="18"/>
      <c r="AD431" s="6" t="s">
        <v>35</v>
      </c>
      <c r="AE431" s="19" t="s">
        <v>36</v>
      </c>
    </row>
    <row r="432" spans="1:31" ht="14.4" x14ac:dyDescent="0.3">
      <c r="A432" s="6">
        <v>4584</v>
      </c>
      <c r="B432" s="7" t="s">
        <v>449</v>
      </c>
      <c r="C432" s="8">
        <v>887</v>
      </c>
      <c r="D432" s="92" t="s">
        <v>76</v>
      </c>
      <c r="E432" s="6" t="s">
        <v>33</v>
      </c>
      <c r="F432" s="10">
        <v>45716</v>
      </c>
      <c r="G432" s="10">
        <v>45717</v>
      </c>
      <c r="H432" s="11">
        <v>24</v>
      </c>
      <c r="I432" s="12">
        <v>24</v>
      </c>
      <c r="J432" s="13"/>
      <c r="K432" s="36">
        <v>45716</v>
      </c>
      <c r="L432" s="11"/>
      <c r="M432" s="11"/>
      <c r="T432" s="78" t="str">
        <f t="shared" ca="1" si="195"/>
        <v/>
      </c>
      <c r="U432" s="78" t="str">
        <f t="shared" ca="1" si="196"/>
        <v/>
      </c>
      <c r="V432" s="78"/>
      <c r="W432" s="78"/>
      <c r="X432" s="74" t="s">
        <v>34</v>
      </c>
      <c r="Y432" s="18"/>
      <c r="Z432" s="18"/>
      <c r="AA432" s="18"/>
      <c r="AD432" s="6" t="s">
        <v>35</v>
      </c>
      <c r="AE432" s="19" t="s">
        <v>36</v>
      </c>
    </row>
    <row r="433" spans="1:31" ht="14.4" x14ac:dyDescent="0.3">
      <c r="A433" s="6">
        <v>4698</v>
      </c>
      <c r="B433" s="20" t="s">
        <v>95</v>
      </c>
      <c r="C433" s="8">
        <v>887</v>
      </c>
      <c r="D433" s="92" t="s">
        <v>32</v>
      </c>
      <c r="E433" s="6" t="s">
        <v>33</v>
      </c>
      <c r="F433" s="10">
        <v>45838</v>
      </c>
      <c r="G433" s="10">
        <v>45843</v>
      </c>
      <c r="H433" s="11">
        <v>367</v>
      </c>
      <c r="I433" s="12">
        <v>367</v>
      </c>
      <c r="J433" s="13"/>
      <c r="K433" s="14">
        <v>45845</v>
      </c>
      <c r="L433" s="11"/>
      <c r="M433" s="11"/>
      <c r="T433" s="78" t="str">
        <f t="shared" ca="1" si="195"/>
        <v/>
      </c>
      <c r="U433" s="78" t="str">
        <f t="shared" ca="1" si="196"/>
        <v/>
      </c>
      <c r="V433" s="78"/>
      <c r="W433" s="74" t="s">
        <v>455</v>
      </c>
      <c r="X433" s="74" t="s">
        <v>231</v>
      </c>
      <c r="Y433" s="18"/>
      <c r="Z433" s="18"/>
      <c r="AA433" s="18"/>
      <c r="AD433" s="6" t="s">
        <v>35</v>
      </c>
      <c r="AE433" s="19" t="s">
        <v>36</v>
      </c>
    </row>
    <row r="434" spans="1:31" ht="14.4" x14ac:dyDescent="0.3">
      <c r="A434" s="6">
        <v>4372</v>
      </c>
      <c r="B434" s="7" t="s">
        <v>84</v>
      </c>
      <c r="C434" s="8">
        <v>894</v>
      </c>
      <c r="D434" s="92" t="s">
        <v>38</v>
      </c>
      <c r="E434" s="6" t="s">
        <v>33</v>
      </c>
      <c r="F434" s="10">
        <v>45670</v>
      </c>
      <c r="G434" s="10">
        <v>45674</v>
      </c>
      <c r="H434" s="11">
        <v>145</v>
      </c>
      <c r="I434" s="12">
        <v>240</v>
      </c>
      <c r="J434" s="13"/>
      <c r="K434" s="36">
        <v>45677</v>
      </c>
      <c r="L434" s="11"/>
      <c r="M434" s="11"/>
      <c r="T434" s="78" t="str">
        <f t="shared" ca="1" si="195"/>
        <v/>
      </c>
      <c r="U434" s="78" t="str">
        <f t="shared" ca="1" si="196"/>
        <v/>
      </c>
      <c r="V434" s="78"/>
      <c r="W434" s="78"/>
      <c r="X434" s="74" t="s">
        <v>34</v>
      </c>
      <c r="Y434" s="18"/>
      <c r="Z434" s="18"/>
      <c r="AA434" s="18"/>
      <c r="AD434" s="6" t="s">
        <v>35</v>
      </c>
      <c r="AE434" s="19" t="s">
        <v>36</v>
      </c>
    </row>
    <row r="435" spans="1:31" ht="14.4" x14ac:dyDescent="0.3">
      <c r="A435" s="6">
        <v>4650</v>
      </c>
      <c r="B435" s="7" t="s">
        <v>456</v>
      </c>
      <c r="C435" s="8">
        <v>894</v>
      </c>
      <c r="D435" s="92" t="s">
        <v>32</v>
      </c>
      <c r="E435" s="6" t="s">
        <v>33</v>
      </c>
      <c r="F435" s="10">
        <v>45782</v>
      </c>
      <c r="G435" s="10">
        <v>45783</v>
      </c>
      <c r="H435" s="11">
        <v>80</v>
      </c>
      <c r="I435" s="12">
        <v>110</v>
      </c>
      <c r="J435" s="13"/>
      <c r="K435" s="14">
        <v>45784</v>
      </c>
      <c r="L435" s="11"/>
      <c r="M435" s="11"/>
      <c r="T435" s="78" t="str">
        <f t="shared" ca="1" si="195"/>
        <v/>
      </c>
      <c r="U435" s="78" t="str">
        <f t="shared" ca="1" si="196"/>
        <v/>
      </c>
      <c r="V435" s="78"/>
      <c r="W435" s="78"/>
      <c r="X435" s="74" t="s">
        <v>34</v>
      </c>
      <c r="Y435" s="18"/>
      <c r="Z435" s="18"/>
      <c r="AA435" s="18"/>
      <c r="AD435" s="6" t="s">
        <v>35</v>
      </c>
      <c r="AE435" s="19" t="s">
        <v>36</v>
      </c>
    </row>
    <row r="436" spans="1:31" ht="14.4" x14ac:dyDescent="0.3">
      <c r="A436" s="21">
        <v>5106</v>
      </c>
      <c r="B436" s="26" t="s">
        <v>37</v>
      </c>
      <c r="C436" s="8">
        <v>895</v>
      </c>
      <c r="D436" s="92" t="s">
        <v>38</v>
      </c>
      <c r="E436" s="21" t="s">
        <v>46</v>
      </c>
      <c r="F436" s="27">
        <v>46125</v>
      </c>
      <c r="G436" s="27">
        <v>46128</v>
      </c>
      <c r="H436" s="29"/>
      <c r="I436" s="30"/>
      <c r="J436" s="21"/>
      <c r="K436" s="48"/>
      <c r="L436" s="29"/>
      <c r="M436" s="29"/>
      <c r="N436" s="69"/>
      <c r="O436" s="70"/>
      <c r="P436" s="70"/>
      <c r="Q436" s="71"/>
      <c r="R436" s="71" t="str">
        <f>IF(Q436,Q436-K436,"")</f>
        <v/>
      </c>
      <c r="S436" s="71" t="str">
        <f>IF(R436="","",IF(R436&lt;=4,"Excellent",IF(R436&lt;=8,"Good",IF(R436&lt;=15,"Average",IF(R436&lt;=30,"Poor",IF(R436&gt;=30,"Bad"))))))</f>
        <v/>
      </c>
      <c r="T436" s="72"/>
      <c r="U436" s="73"/>
      <c r="V436" s="73">
        <f>3</f>
        <v>3</v>
      </c>
      <c r="W436" s="74"/>
      <c r="X436" s="74"/>
      <c r="Y436" s="75"/>
      <c r="Z436" s="75"/>
      <c r="AD436" s="21" t="s">
        <v>35</v>
      </c>
      <c r="AE436" s="19" t="s">
        <v>36</v>
      </c>
    </row>
    <row r="437" spans="1:31" ht="14.4" x14ac:dyDescent="0.3">
      <c r="A437" s="6">
        <v>4607</v>
      </c>
      <c r="B437" s="7" t="s">
        <v>84</v>
      </c>
      <c r="C437" s="8">
        <v>895</v>
      </c>
      <c r="D437" s="92" t="s">
        <v>38</v>
      </c>
      <c r="E437" s="6" t="s">
        <v>46</v>
      </c>
      <c r="F437" s="10">
        <v>45733</v>
      </c>
      <c r="G437" s="10">
        <v>45737</v>
      </c>
      <c r="H437" s="16"/>
      <c r="I437" s="53"/>
      <c r="J437" s="54"/>
      <c r="K437" s="41"/>
      <c r="L437" s="11"/>
      <c r="M437" s="11"/>
      <c r="T437" s="77" t="str">
        <f ca="1">IF($U437="","",IF($U437&lt;=3,"Excellent",IF($U437&lt;=7,"Good",IF($U437&lt;=14,"Average",IF($U437&lt;=30,"Poor",IF($U437&gt;=30,"Bad"))))))</f>
        <v>Bad</v>
      </c>
      <c r="U437" s="73">
        <f t="shared" ref="U437:U438" ca="1" si="197">IF(E437="Document", IF(G437="", "", TODAY() - G437), "")</f>
        <v>398</v>
      </c>
      <c r="V437" s="73">
        <f>109</f>
        <v>109</v>
      </c>
      <c r="W437" s="78"/>
      <c r="X437" s="78"/>
      <c r="Y437" s="18"/>
      <c r="Z437" s="18"/>
      <c r="AA437" s="18"/>
      <c r="AD437" s="6" t="s">
        <v>35</v>
      </c>
      <c r="AE437" s="19" t="s">
        <v>36</v>
      </c>
    </row>
    <row r="438" spans="1:31" ht="14.4" x14ac:dyDescent="0.3">
      <c r="A438" s="6">
        <v>4482</v>
      </c>
      <c r="B438" s="7" t="s">
        <v>457</v>
      </c>
      <c r="C438" s="8">
        <v>904</v>
      </c>
      <c r="D438" s="92" t="s">
        <v>57</v>
      </c>
      <c r="E438" s="6" t="s">
        <v>33</v>
      </c>
      <c r="F438" s="10">
        <v>45665</v>
      </c>
      <c r="G438" s="10">
        <v>45665</v>
      </c>
      <c r="H438" s="11">
        <v>10</v>
      </c>
      <c r="I438" s="12">
        <v>20</v>
      </c>
      <c r="J438" s="13"/>
      <c r="K438" s="36">
        <v>45665</v>
      </c>
      <c r="L438" s="11"/>
      <c r="M438" s="11"/>
      <c r="T438" s="78" t="str">
        <f t="shared" ref="T438:T439" ca="1" si="198">IF(U438="","",IF(U438&lt;=3,"Excellent",IF(U438&lt;=7,"Good",IF(U438&lt;=14,"Average",IF(U438&lt;=30,"Poor",IF(U438&gt;=30,"Bad"))))))</f>
        <v/>
      </c>
      <c r="U438" s="78" t="str">
        <f t="shared" ca="1" si="197"/>
        <v/>
      </c>
      <c r="V438" s="78"/>
      <c r="W438" s="78"/>
      <c r="X438" s="74" t="s">
        <v>34</v>
      </c>
      <c r="Y438" s="18"/>
      <c r="Z438" s="18"/>
      <c r="AA438" s="18"/>
      <c r="AD438" s="6" t="s">
        <v>35</v>
      </c>
      <c r="AE438" s="19" t="s">
        <v>36</v>
      </c>
    </row>
    <row r="439" spans="1:31" ht="14.4" x14ac:dyDescent="0.3">
      <c r="A439" s="21">
        <v>5008</v>
      </c>
      <c r="B439" s="26" t="s">
        <v>458</v>
      </c>
      <c r="C439" s="8">
        <v>905</v>
      </c>
      <c r="D439" s="92" t="s">
        <v>57</v>
      </c>
      <c r="E439" s="6" t="s">
        <v>33</v>
      </c>
      <c r="F439" s="27">
        <v>46049</v>
      </c>
      <c r="G439" s="27">
        <v>46049</v>
      </c>
      <c r="H439" s="29">
        <v>22</v>
      </c>
      <c r="I439" s="30">
        <v>42</v>
      </c>
      <c r="J439" s="21"/>
      <c r="K439" s="31">
        <v>46049</v>
      </c>
      <c r="L439" s="29"/>
      <c r="M439" s="29"/>
      <c r="N439" s="69">
        <v>46049</v>
      </c>
      <c r="O439" s="70"/>
      <c r="P439" s="70"/>
      <c r="Q439" s="71"/>
      <c r="R439" s="71" t="str">
        <f>IF(Q439,Q439-K439,"")</f>
        <v/>
      </c>
      <c r="S439" s="71" t="str">
        <f>IF(R439="","",IF(R439&lt;=4,"Excellent",IF(R439&lt;=8,"Good",IF(R439&lt;=15,"Average",IF(R439&lt;=30,"Poor",IF(R439&gt;=30,"Bad"))))))</f>
        <v/>
      </c>
      <c r="T439" s="68" t="str">
        <f t="shared" ca="1" si="198"/>
        <v/>
      </c>
      <c r="U439" s="68" t="str">
        <f ca="1">IF(E439="Document", IF(#REF!="", "", TODAY() -#REF!), "")</f>
        <v/>
      </c>
      <c r="V439" s="68"/>
      <c r="W439" s="78" t="s">
        <v>187</v>
      </c>
      <c r="X439" s="78" t="s">
        <v>61</v>
      </c>
      <c r="Y439" s="75"/>
      <c r="Z439" s="75"/>
      <c r="AD439" s="21" t="s">
        <v>35</v>
      </c>
      <c r="AE439" s="19" t="s">
        <v>36</v>
      </c>
    </row>
    <row r="440" spans="1:31" ht="14.4" x14ac:dyDescent="0.3">
      <c r="A440" s="6">
        <v>4286</v>
      </c>
      <c r="B440" s="7" t="s">
        <v>438</v>
      </c>
      <c r="C440" s="8">
        <v>905</v>
      </c>
      <c r="D440" s="92" t="s">
        <v>32</v>
      </c>
      <c r="E440" s="6" t="s">
        <v>46</v>
      </c>
      <c r="F440" s="10">
        <v>45691</v>
      </c>
      <c r="G440" s="10">
        <v>45696</v>
      </c>
      <c r="H440" s="16"/>
      <c r="I440" s="53"/>
      <c r="J440" s="54"/>
      <c r="K440" s="41"/>
      <c r="L440" s="11"/>
      <c r="M440" s="11"/>
      <c r="T440" s="77" t="str">
        <f t="shared" ref="T440:T445" ca="1" si="199">IF($U440="","",IF($U440&lt;=3,"Excellent",IF($U440&lt;=7,"Good",IF($U440&lt;=14,"Average",IF($U440&lt;=30,"Poor",IF($U440&gt;=30,"Bad"))))))</f>
        <v>Bad</v>
      </c>
      <c r="U440" s="73">
        <f t="shared" ref="U440:U445" ca="1" si="200">IF(E440="Document", IF(G440="", "", TODAY() - G440), "")</f>
        <v>439</v>
      </c>
      <c r="V440" s="73">
        <f>109</f>
        <v>109</v>
      </c>
      <c r="W440" s="78"/>
      <c r="X440" s="78"/>
      <c r="Y440" s="18"/>
      <c r="Z440" s="18"/>
      <c r="AA440" s="18"/>
      <c r="AD440" s="6" t="s">
        <v>35</v>
      </c>
      <c r="AE440" s="19" t="s">
        <v>36</v>
      </c>
    </row>
    <row r="441" spans="1:31" ht="14.4" x14ac:dyDescent="0.3">
      <c r="A441" s="6">
        <v>4647</v>
      </c>
      <c r="B441" s="7" t="s">
        <v>347</v>
      </c>
      <c r="C441" s="8">
        <v>905</v>
      </c>
      <c r="D441" s="92" t="s">
        <v>57</v>
      </c>
      <c r="E441" s="6" t="s">
        <v>33</v>
      </c>
      <c r="F441" s="10">
        <v>45779</v>
      </c>
      <c r="G441" s="10">
        <v>45779</v>
      </c>
      <c r="H441" s="11">
        <v>30</v>
      </c>
      <c r="I441" s="12">
        <v>55</v>
      </c>
      <c r="J441" s="13"/>
      <c r="K441" s="36">
        <v>45779</v>
      </c>
      <c r="L441" s="11"/>
      <c r="M441" s="11"/>
      <c r="T441" s="78" t="str">
        <f t="shared" ca="1" si="199"/>
        <v/>
      </c>
      <c r="U441" s="78" t="str">
        <f t="shared" ca="1" si="200"/>
        <v/>
      </c>
      <c r="V441" s="78"/>
      <c r="W441" s="78"/>
      <c r="X441" s="74" t="s">
        <v>34</v>
      </c>
      <c r="Y441" s="18"/>
      <c r="Z441" s="18"/>
      <c r="AA441" s="18"/>
      <c r="AD441" s="6" t="s">
        <v>35</v>
      </c>
      <c r="AE441" s="19" t="s">
        <v>36</v>
      </c>
    </row>
    <row r="442" spans="1:31" ht="14.4" x14ac:dyDescent="0.3">
      <c r="A442" s="6">
        <v>4665</v>
      </c>
      <c r="B442" s="7" t="s">
        <v>245</v>
      </c>
      <c r="C442" s="8">
        <v>905</v>
      </c>
      <c r="D442" s="92" t="s">
        <v>57</v>
      </c>
      <c r="E442" s="6" t="s">
        <v>33</v>
      </c>
      <c r="F442" s="10">
        <v>45796</v>
      </c>
      <c r="G442" s="10">
        <v>45798</v>
      </c>
      <c r="H442" s="11">
        <v>35</v>
      </c>
      <c r="I442" s="12">
        <v>35</v>
      </c>
      <c r="J442" s="13"/>
      <c r="K442" s="14">
        <v>45800</v>
      </c>
      <c r="L442" s="11"/>
      <c r="M442" s="11"/>
      <c r="T442" s="78" t="str">
        <f t="shared" ca="1" si="199"/>
        <v/>
      </c>
      <c r="U442" s="78" t="str">
        <f t="shared" ca="1" si="200"/>
        <v/>
      </c>
      <c r="V442" s="78"/>
      <c r="W442" s="78"/>
      <c r="X442" s="74" t="s">
        <v>34</v>
      </c>
      <c r="Y442" s="18"/>
      <c r="Z442" s="18"/>
      <c r="AA442" s="18"/>
      <c r="AD442" s="6" t="s">
        <v>35</v>
      </c>
      <c r="AE442" s="19" t="s">
        <v>36</v>
      </c>
    </row>
    <row r="443" spans="1:31" ht="14.4" x14ac:dyDescent="0.3">
      <c r="A443" s="21">
        <v>4817</v>
      </c>
      <c r="B443" s="55" t="s">
        <v>95</v>
      </c>
      <c r="C443" s="8">
        <v>907</v>
      </c>
      <c r="D443" s="92" t="s">
        <v>32</v>
      </c>
      <c r="E443" s="21" t="s">
        <v>33</v>
      </c>
      <c r="F443" s="10">
        <v>45908</v>
      </c>
      <c r="G443" s="10">
        <v>45916</v>
      </c>
      <c r="H443" s="22">
        <v>233</v>
      </c>
      <c r="I443" s="23">
        <v>263</v>
      </c>
      <c r="J443" s="24"/>
      <c r="K443" s="14">
        <v>45919</v>
      </c>
      <c r="L443" s="22"/>
      <c r="M443" s="22"/>
      <c r="T443" s="82" t="str">
        <f t="shared" ca="1" si="199"/>
        <v/>
      </c>
      <c r="U443" s="82" t="str">
        <f t="shared" ca="1" si="200"/>
        <v/>
      </c>
      <c r="V443" s="75">
        <f>22</f>
        <v>22</v>
      </c>
      <c r="W443" s="83" t="s">
        <v>459</v>
      </c>
      <c r="X443" s="83" t="s">
        <v>275</v>
      </c>
      <c r="Y443" s="28"/>
      <c r="Z443" s="28"/>
      <c r="AA443" s="28"/>
      <c r="AD443" s="21" t="s">
        <v>35</v>
      </c>
      <c r="AE443" s="19" t="s">
        <v>36</v>
      </c>
    </row>
    <row r="444" spans="1:31" ht="14.4" x14ac:dyDescent="0.3">
      <c r="A444" s="6">
        <v>4585</v>
      </c>
      <c r="B444" s="7" t="s">
        <v>449</v>
      </c>
      <c r="C444" s="8">
        <v>909</v>
      </c>
      <c r="D444" s="92" t="s">
        <v>76</v>
      </c>
      <c r="E444" s="6" t="s">
        <v>33</v>
      </c>
      <c r="F444" s="10">
        <v>45709</v>
      </c>
      <c r="G444" s="10">
        <v>45710</v>
      </c>
      <c r="H444" s="11">
        <v>24</v>
      </c>
      <c r="I444" s="12">
        <v>24</v>
      </c>
      <c r="J444" s="13"/>
      <c r="K444" s="36">
        <v>45713</v>
      </c>
      <c r="L444" s="11"/>
      <c r="M444" s="11"/>
      <c r="T444" s="78" t="str">
        <f t="shared" ca="1" si="199"/>
        <v/>
      </c>
      <c r="U444" s="78" t="str">
        <f t="shared" ca="1" si="200"/>
        <v/>
      </c>
      <c r="V444" s="78"/>
      <c r="W444" s="78"/>
      <c r="X444" s="74" t="s">
        <v>34</v>
      </c>
      <c r="Y444" s="18"/>
      <c r="Z444" s="18"/>
      <c r="AA444" s="18"/>
      <c r="AD444" s="6" t="s">
        <v>35</v>
      </c>
      <c r="AE444" s="19" t="s">
        <v>36</v>
      </c>
    </row>
    <row r="445" spans="1:31" ht="14.4" x14ac:dyDescent="0.3">
      <c r="A445" s="6">
        <v>4691</v>
      </c>
      <c r="B445" s="20" t="s">
        <v>95</v>
      </c>
      <c r="C445" s="8">
        <v>909</v>
      </c>
      <c r="D445" s="92" t="s">
        <v>32</v>
      </c>
      <c r="E445" s="6" t="s">
        <v>33</v>
      </c>
      <c r="F445" s="10">
        <v>45824</v>
      </c>
      <c r="G445" s="10">
        <v>45829</v>
      </c>
      <c r="H445" s="11">
        <v>175</v>
      </c>
      <c r="I445" s="12">
        <v>240</v>
      </c>
      <c r="J445" s="13"/>
      <c r="K445" s="14">
        <v>45832</v>
      </c>
      <c r="L445" s="11"/>
      <c r="M445" s="11"/>
      <c r="T445" s="78" t="str">
        <f t="shared" ca="1" si="199"/>
        <v/>
      </c>
      <c r="U445" s="78" t="str">
        <f t="shared" ca="1" si="200"/>
        <v/>
      </c>
      <c r="V445" s="78"/>
      <c r="W445" s="78"/>
      <c r="X445" s="74" t="s">
        <v>34</v>
      </c>
      <c r="Y445" s="18"/>
      <c r="Z445" s="18"/>
      <c r="AA445" s="18"/>
      <c r="AD445" s="6" t="s">
        <v>55</v>
      </c>
      <c r="AE445" s="19" t="s">
        <v>36</v>
      </c>
    </row>
    <row r="446" spans="1:31" ht="14.4" x14ac:dyDescent="0.3">
      <c r="A446" s="21">
        <v>5064</v>
      </c>
      <c r="B446" s="26" t="s">
        <v>460</v>
      </c>
      <c r="C446" s="8">
        <v>910</v>
      </c>
      <c r="D446" s="92" t="s">
        <v>57</v>
      </c>
      <c r="E446" s="6" t="s">
        <v>33</v>
      </c>
      <c r="F446" s="27">
        <v>46064</v>
      </c>
      <c r="G446" s="27">
        <v>46065</v>
      </c>
      <c r="H446" s="29">
        <v>15</v>
      </c>
      <c r="I446" s="30">
        <v>25</v>
      </c>
      <c r="J446" s="21"/>
      <c r="K446" s="31">
        <v>46066</v>
      </c>
      <c r="L446" s="29"/>
      <c r="M446" s="29"/>
      <c r="N446" s="69">
        <v>46066</v>
      </c>
      <c r="O446" s="70"/>
      <c r="P446" s="70"/>
      <c r="Q446" s="71"/>
      <c r="R446" s="71" t="str">
        <f t="shared" ref="R446:R447" si="201">IF(Q446,Q446-K446,"")</f>
        <v/>
      </c>
      <c r="S446" s="71" t="str">
        <f t="shared" ref="S446:S447" si="202">IF(R446="","",IF(R446&lt;=4,"Excellent",IF(R446&lt;=8,"Good",IF(R446&lt;=15,"Average",IF(R446&lt;=30,"Poor",IF(R446&gt;=30,"Bad"))))))</f>
        <v/>
      </c>
      <c r="T446" s="68" t="str">
        <f t="shared" ref="T446:T448" ca="1" si="203">IF(U446="","",IF(U446&lt;=3,"Excellent",IF(U446&lt;=7,"Good",IF(U446&lt;=14,"Average",IF(U446&lt;=30,"Poor",IF(U446&gt;=30,"Bad"))))))</f>
        <v/>
      </c>
      <c r="U446" s="68" t="str">
        <f ca="1">IF(E446="Document", IF(#REF!="", "", TODAY() -#REF!), "")</f>
        <v/>
      </c>
      <c r="V446" s="68"/>
      <c r="W446" s="78" t="s">
        <v>461</v>
      </c>
      <c r="X446" s="78" t="s">
        <v>208</v>
      </c>
      <c r="Y446" s="75"/>
      <c r="Z446" s="75"/>
      <c r="AD446" s="21" t="s">
        <v>35</v>
      </c>
      <c r="AE446" s="19" t="s">
        <v>36</v>
      </c>
    </row>
    <row r="447" spans="1:31" ht="14.4" x14ac:dyDescent="0.3">
      <c r="A447" s="21">
        <v>5077</v>
      </c>
      <c r="B447" s="26" t="s">
        <v>462</v>
      </c>
      <c r="C447" s="8">
        <v>910</v>
      </c>
      <c r="D447" s="92" t="s">
        <v>32</v>
      </c>
      <c r="E447" s="59" t="s">
        <v>33</v>
      </c>
      <c r="F447" s="27">
        <v>46076</v>
      </c>
      <c r="G447" s="27">
        <v>46083</v>
      </c>
      <c r="H447" s="29">
        <v>233</v>
      </c>
      <c r="I447" s="30">
        <v>233</v>
      </c>
      <c r="J447" s="21"/>
      <c r="K447" s="31">
        <v>46098</v>
      </c>
      <c r="L447" s="29"/>
      <c r="M447" s="29"/>
      <c r="N447" s="69">
        <v>46111</v>
      </c>
      <c r="O447" s="70"/>
      <c r="P447" s="70"/>
      <c r="Q447" s="71"/>
      <c r="R447" s="71" t="str">
        <f t="shared" si="201"/>
        <v/>
      </c>
      <c r="S447" s="71" t="str">
        <f t="shared" si="202"/>
        <v/>
      </c>
      <c r="T447" s="68" t="str">
        <f t="shared" ca="1" si="203"/>
        <v/>
      </c>
      <c r="U447" s="68" t="str">
        <f ca="1">IF(E447="Document", IF(#REF!="", "", TODAY() -#REF!), "")</f>
        <v/>
      </c>
      <c r="V447" s="68">
        <f>4</f>
        <v>4</v>
      </c>
      <c r="W447" s="78" t="s">
        <v>323</v>
      </c>
      <c r="X447" s="78" t="s">
        <v>141</v>
      </c>
      <c r="Y447" s="75"/>
      <c r="Z447" s="75"/>
      <c r="AD447" s="21" t="s">
        <v>35</v>
      </c>
      <c r="AE447" s="19" t="s">
        <v>36</v>
      </c>
    </row>
    <row r="448" spans="1:31" ht="14.4" x14ac:dyDescent="0.3">
      <c r="A448" s="6">
        <v>4504</v>
      </c>
      <c r="B448" s="7" t="s">
        <v>463</v>
      </c>
      <c r="C448" s="8">
        <v>910</v>
      </c>
      <c r="D448" s="92" t="s">
        <v>38</v>
      </c>
      <c r="E448" s="6" t="s">
        <v>33</v>
      </c>
      <c r="F448" s="10">
        <v>45663</v>
      </c>
      <c r="G448" s="10">
        <v>45664</v>
      </c>
      <c r="H448" s="11">
        <v>25</v>
      </c>
      <c r="I448" s="12">
        <v>25</v>
      </c>
      <c r="J448" s="13"/>
      <c r="K448" s="14">
        <v>45665</v>
      </c>
      <c r="L448" s="11"/>
      <c r="M448" s="11"/>
      <c r="T448" s="78" t="str">
        <f t="shared" ca="1" si="203"/>
        <v/>
      </c>
      <c r="U448" s="78" t="str">
        <f t="shared" ref="U448:U450" ca="1" si="204">IF(E448="Document", IF(G448="", "", TODAY() - G448), "")</f>
        <v/>
      </c>
      <c r="V448" s="78"/>
      <c r="W448" s="78"/>
      <c r="X448" s="74" t="s">
        <v>34</v>
      </c>
      <c r="Y448" s="18"/>
      <c r="Z448" s="18"/>
      <c r="AA448" s="18"/>
      <c r="AD448" s="6" t="s">
        <v>35</v>
      </c>
      <c r="AE448" s="19" t="s">
        <v>36</v>
      </c>
    </row>
    <row r="449" spans="1:31" ht="14.4" x14ac:dyDescent="0.3">
      <c r="A449" s="21">
        <v>4762</v>
      </c>
      <c r="B449" s="37" t="s">
        <v>464</v>
      </c>
      <c r="C449" s="8">
        <v>910</v>
      </c>
      <c r="D449" s="92" t="s">
        <v>32</v>
      </c>
      <c r="E449" s="21" t="s">
        <v>77</v>
      </c>
      <c r="F449" s="38">
        <v>45942</v>
      </c>
      <c r="G449" s="38">
        <v>45943</v>
      </c>
      <c r="H449" s="25"/>
      <c r="I449" s="39"/>
      <c r="J449" s="40"/>
      <c r="K449" s="14">
        <v>45943</v>
      </c>
      <c r="L449" s="22"/>
      <c r="M449" s="22"/>
      <c r="T449" s="82" t="str">
        <f t="shared" ref="T449:T450" ca="1" si="205">IF($U449="","",IF($U449&lt;=3,"Excellent",IF($U449&lt;=7,"Good",IF($U449&lt;=14,"Average",IF($U449&lt;=30,"Poor",IF($U449&gt;=30,"Bad"))))))</f>
        <v/>
      </c>
      <c r="U449" s="82" t="str">
        <f t="shared" ca="1" si="204"/>
        <v/>
      </c>
      <c r="V449" s="82"/>
      <c r="W449" s="83" t="s">
        <v>249</v>
      </c>
      <c r="X449" s="82"/>
      <c r="Y449" s="28"/>
      <c r="Z449" s="28"/>
      <c r="AA449" s="28"/>
      <c r="AD449" s="21" t="s">
        <v>35</v>
      </c>
      <c r="AE449" s="19" t="s">
        <v>36</v>
      </c>
    </row>
    <row r="450" spans="1:31" ht="14.4" x14ac:dyDescent="0.3">
      <c r="A450" s="21">
        <v>4881</v>
      </c>
      <c r="B450" s="37" t="s">
        <v>37</v>
      </c>
      <c r="C450" s="8">
        <v>910</v>
      </c>
      <c r="D450" s="92" t="s">
        <v>32</v>
      </c>
      <c r="E450" s="21" t="s">
        <v>77</v>
      </c>
      <c r="F450" s="42">
        <v>45958</v>
      </c>
      <c r="G450" s="42">
        <v>45961</v>
      </c>
      <c r="H450" s="25"/>
      <c r="I450" s="39"/>
      <c r="J450" s="40"/>
      <c r="K450" s="85">
        <v>45962</v>
      </c>
      <c r="L450" s="22"/>
      <c r="M450" s="22"/>
      <c r="T450" s="82" t="str">
        <f t="shared" ca="1" si="205"/>
        <v/>
      </c>
      <c r="U450" s="82" t="str">
        <f t="shared" ca="1" si="204"/>
        <v/>
      </c>
      <c r="V450" s="82"/>
      <c r="W450" s="83" t="s">
        <v>465</v>
      </c>
      <c r="X450" s="82"/>
      <c r="Y450" s="28"/>
      <c r="Z450" s="28"/>
      <c r="AA450" s="28"/>
      <c r="AD450" s="21" t="s">
        <v>35</v>
      </c>
      <c r="AE450" s="19" t="s">
        <v>36</v>
      </c>
    </row>
    <row r="451" spans="1:31" ht="14.4" x14ac:dyDescent="0.3">
      <c r="A451" s="21">
        <v>5054</v>
      </c>
      <c r="B451" s="26" t="s">
        <v>466</v>
      </c>
      <c r="C451" s="8">
        <v>911</v>
      </c>
      <c r="D451" s="92" t="s">
        <v>32</v>
      </c>
      <c r="E451" s="6" t="s">
        <v>33</v>
      </c>
      <c r="F451" s="27">
        <v>46057</v>
      </c>
      <c r="G451" s="27">
        <v>46059</v>
      </c>
      <c r="H451" s="29">
        <v>65</v>
      </c>
      <c r="I451" s="30">
        <v>120</v>
      </c>
      <c r="J451" s="21"/>
      <c r="K451" s="31">
        <v>46077</v>
      </c>
      <c r="L451" s="29"/>
      <c r="M451" s="29"/>
      <c r="N451" s="69">
        <v>46077</v>
      </c>
      <c r="O451" s="70"/>
      <c r="P451" s="70"/>
      <c r="Q451" s="71"/>
      <c r="R451" s="71" t="str">
        <f>IF(Q451,Q451-K451,"")</f>
        <v/>
      </c>
      <c r="S451" s="71" t="str">
        <f>IF(R451="","",IF(R451&lt;=4,"Excellent",IF(R451&lt;=8,"Good",IF(R451&lt;=15,"Average",IF(R451&lt;=30,"Poor",IF(R451&gt;=30,"Bad"))))))</f>
        <v/>
      </c>
      <c r="T451" s="68" t="str">
        <f ca="1">IF(U451="","",IF(U451&lt;=3,"Excellent",IF(U451&lt;=7,"Good",IF(U451&lt;=14,"Average",IF(U451&lt;=30,"Poor",IF(U451&gt;=30,"Bad"))))))</f>
        <v/>
      </c>
      <c r="U451" s="68" t="str">
        <f ca="1">IF(E451="Document", IF(#REF!="", "", TODAY() -#REF!), "")</f>
        <v/>
      </c>
      <c r="V451" s="68"/>
      <c r="W451" s="78" t="s">
        <v>235</v>
      </c>
      <c r="X451" s="78" t="s">
        <v>236</v>
      </c>
      <c r="Y451" s="75"/>
      <c r="Z451" s="75"/>
      <c r="AD451" s="21" t="s">
        <v>35</v>
      </c>
      <c r="AE451" s="19" t="s">
        <v>36</v>
      </c>
    </row>
    <row r="452" spans="1:31" ht="14.4" x14ac:dyDescent="0.3">
      <c r="A452" s="6">
        <v>4573</v>
      </c>
      <c r="B452" s="7" t="s">
        <v>467</v>
      </c>
      <c r="C452" s="8">
        <v>911</v>
      </c>
      <c r="D452" s="92" t="s">
        <v>32</v>
      </c>
      <c r="E452" s="6" t="s">
        <v>33</v>
      </c>
      <c r="F452" s="10">
        <v>45707</v>
      </c>
      <c r="G452" s="10">
        <v>45707</v>
      </c>
      <c r="H452" s="11">
        <v>48</v>
      </c>
      <c r="I452" s="12">
        <v>85</v>
      </c>
      <c r="J452" s="13"/>
      <c r="K452" s="36">
        <v>45708</v>
      </c>
      <c r="L452" s="11"/>
      <c r="M452" s="11"/>
      <c r="T452" s="78" t="str">
        <f t="shared" ref="T452:T458" ca="1" si="206">IF($U452="","",IF($U452&lt;=3,"Excellent",IF($U452&lt;=7,"Good",IF($U452&lt;=14,"Average",IF($U452&lt;=30,"Poor",IF($U452&gt;=30,"Bad"))))))</f>
        <v/>
      </c>
      <c r="U452" s="78" t="str">
        <f t="shared" ref="U452:U459" ca="1" si="207">IF(E452="Document", IF(G452="", "", TODAY() - G452), "")</f>
        <v/>
      </c>
      <c r="V452" s="78"/>
      <c r="W452" s="78"/>
      <c r="X452" s="74" t="s">
        <v>34</v>
      </c>
      <c r="Y452" s="18"/>
      <c r="Z452" s="18"/>
      <c r="AA452" s="18"/>
      <c r="AD452" s="6" t="s">
        <v>35</v>
      </c>
      <c r="AE452" s="19" t="s">
        <v>36</v>
      </c>
    </row>
    <row r="453" spans="1:31" ht="14.4" x14ac:dyDescent="0.3">
      <c r="A453" s="6">
        <v>4609</v>
      </c>
      <c r="B453" s="7" t="s">
        <v>468</v>
      </c>
      <c r="C453" s="8">
        <v>911</v>
      </c>
      <c r="D453" s="92" t="s">
        <v>38</v>
      </c>
      <c r="E453" s="6" t="s">
        <v>33</v>
      </c>
      <c r="F453" s="10">
        <v>45730</v>
      </c>
      <c r="G453" s="10">
        <v>45730</v>
      </c>
      <c r="H453" s="11">
        <v>20</v>
      </c>
      <c r="I453" s="12">
        <v>40</v>
      </c>
      <c r="J453" s="13"/>
      <c r="K453" s="36">
        <v>45733</v>
      </c>
      <c r="L453" s="11"/>
      <c r="M453" s="11"/>
      <c r="T453" s="78" t="str">
        <f t="shared" ca="1" si="206"/>
        <v/>
      </c>
      <c r="U453" s="78" t="str">
        <f t="shared" ca="1" si="207"/>
        <v/>
      </c>
      <c r="V453" s="78"/>
      <c r="W453" s="78"/>
      <c r="X453" s="74" t="s">
        <v>34</v>
      </c>
      <c r="Y453" s="18"/>
      <c r="Z453" s="18"/>
      <c r="AA453" s="18"/>
      <c r="AD453" s="6" t="s">
        <v>35</v>
      </c>
      <c r="AE453" s="19" t="s">
        <v>36</v>
      </c>
    </row>
    <row r="454" spans="1:31" ht="14.4" x14ac:dyDescent="0.3">
      <c r="A454" s="21">
        <v>4764</v>
      </c>
      <c r="B454" s="7" t="s">
        <v>469</v>
      </c>
      <c r="C454" s="8">
        <v>911</v>
      </c>
      <c r="D454" s="92" t="s">
        <v>32</v>
      </c>
      <c r="E454" s="21" t="s">
        <v>33</v>
      </c>
      <c r="F454" s="10">
        <v>45863</v>
      </c>
      <c r="G454" s="10">
        <v>45866</v>
      </c>
      <c r="H454" s="22">
        <v>50</v>
      </c>
      <c r="I454" s="23">
        <v>50</v>
      </c>
      <c r="J454" s="24"/>
      <c r="K454" s="14">
        <v>45875</v>
      </c>
      <c r="L454" s="22"/>
      <c r="M454" s="22"/>
      <c r="T454" s="82" t="str">
        <f t="shared" ca="1" si="206"/>
        <v/>
      </c>
      <c r="U454" s="82" t="str">
        <f t="shared" ca="1" si="207"/>
        <v/>
      </c>
      <c r="V454" s="75">
        <f>12</f>
        <v>12</v>
      </c>
      <c r="W454" s="83" t="s">
        <v>129</v>
      </c>
      <c r="X454" s="83" t="s">
        <v>195</v>
      </c>
      <c r="Y454" s="28"/>
      <c r="Z454" s="28"/>
      <c r="AA454" s="28"/>
      <c r="AD454" s="21" t="s">
        <v>35</v>
      </c>
      <c r="AE454" s="19" t="s">
        <v>36</v>
      </c>
    </row>
    <row r="455" spans="1:31" ht="14.4" x14ac:dyDescent="0.3">
      <c r="A455" s="21">
        <v>4821</v>
      </c>
      <c r="B455" s="55" t="s">
        <v>37</v>
      </c>
      <c r="C455" s="8">
        <v>911</v>
      </c>
      <c r="D455" s="92" t="s">
        <v>38</v>
      </c>
      <c r="E455" s="21" t="s">
        <v>33</v>
      </c>
      <c r="F455" s="10">
        <v>45908</v>
      </c>
      <c r="G455" s="10">
        <v>45910</v>
      </c>
      <c r="H455" s="22">
        <v>90</v>
      </c>
      <c r="I455" s="23">
        <v>90</v>
      </c>
      <c r="J455" s="24"/>
      <c r="K455" s="14">
        <v>45915</v>
      </c>
      <c r="L455" s="22"/>
      <c r="M455" s="22"/>
      <c r="T455" s="82" t="str">
        <f t="shared" ca="1" si="206"/>
        <v/>
      </c>
      <c r="U455" s="82" t="str">
        <f t="shared" ca="1" si="207"/>
        <v/>
      </c>
      <c r="V455" s="75">
        <f>4</f>
        <v>4</v>
      </c>
      <c r="W455" s="83" t="s">
        <v>470</v>
      </c>
      <c r="X455" s="83" t="s">
        <v>299</v>
      </c>
      <c r="Y455" s="28"/>
      <c r="Z455" s="28"/>
      <c r="AA455" s="28"/>
      <c r="AD455" s="21" t="s">
        <v>35</v>
      </c>
      <c r="AE455" s="19" t="s">
        <v>36</v>
      </c>
    </row>
    <row r="456" spans="1:31" ht="14.4" x14ac:dyDescent="0.3">
      <c r="A456" s="21">
        <v>3754</v>
      </c>
      <c r="B456" s="37" t="s">
        <v>37</v>
      </c>
      <c r="C456" s="8">
        <v>911</v>
      </c>
      <c r="D456" s="92" t="s">
        <v>38</v>
      </c>
      <c r="E456" s="21" t="s">
        <v>77</v>
      </c>
      <c r="F456" s="42">
        <v>45986</v>
      </c>
      <c r="G456" s="42">
        <v>45988</v>
      </c>
      <c r="H456" s="25"/>
      <c r="I456" s="39"/>
      <c r="J456" s="40"/>
      <c r="K456" s="14">
        <v>45996</v>
      </c>
      <c r="L456" s="22"/>
      <c r="M456" s="22"/>
      <c r="T456" s="82" t="str">
        <f t="shared" ca="1" si="206"/>
        <v/>
      </c>
      <c r="U456" s="82" t="str">
        <f t="shared" ca="1" si="207"/>
        <v/>
      </c>
      <c r="V456" s="82"/>
      <c r="W456" s="83" t="s">
        <v>80</v>
      </c>
      <c r="X456" s="82"/>
      <c r="Y456" s="28"/>
      <c r="Z456" s="28"/>
      <c r="AA456" s="28"/>
      <c r="AD456" s="21" t="s">
        <v>35</v>
      </c>
      <c r="AE456" s="19" t="s">
        <v>36</v>
      </c>
    </row>
    <row r="457" spans="1:31" ht="14.4" x14ac:dyDescent="0.3">
      <c r="A457" s="21">
        <v>4757</v>
      </c>
      <c r="B457" s="7" t="s">
        <v>471</v>
      </c>
      <c r="C457" s="8">
        <v>916</v>
      </c>
      <c r="D457" s="92" t="s">
        <v>32</v>
      </c>
      <c r="E457" s="21" t="s">
        <v>33</v>
      </c>
      <c r="F457" s="10">
        <v>45861</v>
      </c>
      <c r="G457" s="10">
        <v>45870</v>
      </c>
      <c r="H457" s="22">
        <v>44</v>
      </c>
      <c r="I457" s="23">
        <v>44</v>
      </c>
      <c r="J457" s="24"/>
      <c r="K457" s="14">
        <v>45871</v>
      </c>
      <c r="L457" s="22"/>
      <c r="M457" s="22"/>
      <c r="T457" s="82" t="str">
        <f t="shared" ca="1" si="206"/>
        <v/>
      </c>
      <c r="U457" s="82" t="str">
        <f t="shared" ca="1" si="207"/>
        <v/>
      </c>
      <c r="V457" s="75">
        <f>4</f>
        <v>4</v>
      </c>
      <c r="W457" s="83" t="s">
        <v>287</v>
      </c>
      <c r="X457" s="83" t="s">
        <v>100</v>
      </c>
      <c r="Y457" s="28"/>
      <c r="Z457" s="28"/>
      <c r="AA457" s="28"/>
      <c r="AD457" s="21" t="s">
        <v>35</v>
      </c>
      <c r="AE457" s="19" t="s">
        <v>36</v>
      </c>
    </row>
    <row r="458" spans="1:31" ht="14.4" x14ac:dyDescent="0.3">
      <c r="A458" s="21">
        <v>4840</v>
      </c>
      <c r="B458" s="7" t="s">
        <v>472</v>
      </c>
      <c r="C458" s="8">
        <v>916</v>
      </c>
      <c r="D458" s="92" t="s">
        <v>38</v>
      </c>
      <c r="E458" s="21" t="s">
        <v>33</v>
      </c>
      <c r="F458" s="10">
        <v>45922</v>
      </c>
      <c r="G458" s="10">
        <v>45925</v>
      </c>
      <c r="H458" s="22">
        <v>30</v>
      </c>
      <c r="I458" s="23">
        <v>40</v>
      </c>
      <c r="J458" s="24"/>
      <c r="K458" s="14">
        <v>45938</v>
      </c>
      <c r="L458" s="22"/>
      <c r="M458" s="22"/>
      <c r="T458" s="82" t="str">
        <f t="shared" ca="1" si="206"/>
        <v/>
      </c>
      <c r="U458" s="82" t="str">
        <f t="shared" ca="1" si="207"/>
        <v/>
      </c>
      <c r="V458" s="75">
        <f>8</f>
        <v>8</v>
      </c>
      <c r="W458" s="83" t="s">
        <v>206</v>
      </c>
      <c r="X458" s="83" t="s">
        <v>473</v>
      </c>
      <c r="Y458" s="28"/>
      <c r="Z458" s="28"/>
      <c r="AA458" s="28"/>
      <c r="AD458" s="21" t="s">
        <v>35</v>
      </c>
      <c r="AE458" s="19" t="s">
        <v>36</v>
      </c>
    </row>
    <row r="459" spans="1:31" ht="14.4" x14ac:dyDescent="0.3">
      <c r="A459" s="21">
        <v>5102</v>
      </c>
      <c r="B459" s="26" t="s">
        <v>474</v>
      </c>
      <c r="C459" s="8">
        <v>919</v>
      </c>
      <c r="D459" s="92" t="s">
        <v>57</v>
      </c>
      <c r="E459" s="21" t="s">
        <v>46</v>
      </c>
      <c r="F459" s="27">
        <v>46091</v>
      </c>
      <c r="G459" s="27">
        <v>46091</v>
      </c>
      <c r="H459" s="29"/>
      <c r="I459" s="30"/>
      <c r="J459" s="21"/>
      <c r="K459" s="31"/>
      <c r="L459" s="29"/>
      <c r="M459" s="29"/>
      <c r="N459" s="69"/>
      <c r="O459" s="70"/>
      <c r="P459" s="70"/>
      <c r="Q459" s="71"/>
      <c r="R459" s="71" t="str">
        <f>IF(Q459,Q459-K459,"")</f>
        <v/>
      </c>
      <c r="S459" s="71" t="str">
        <f>IF(R459="","",IF(R459&lt;=4,"Excellent",IF(R459&lt;=8,"Good",IF(R459&lt;=15,"Average",IF(R459&lt;=30,"Poor",IF(R459&gt;=30,"Bad"))))))</f>
        <v/>
      </c>
      <c r="T459" s="68" t="str">
        <f t="shared" ref="T459:T460" ca="1" si="208">IF(U459="","",IF(U459&lt;=3,"Excellent",IF(U459&lt;=7,"Good",IF(U459&lt;=14,"Average",IF(U459&lt;=30,"Poor",IF(U459&gt;=30,"Bad"))))))</f>
        <v>Bad</v>
      </c>
      <c r="U459" s="21">
        <f t="shared" ca="1" si="207"/>
        <v>44</v>
      </c>
      <c r="V459" s="68">
        <f>40</f>
        <v>40</v>
      </c>
      <c r="W459" s="78"/>
      <c r="X459" s="78"/>
      <c r="Y459" s="75"/>
      <c r="Z459" s="75"/>
      <c r="AD459" s="21" t="s">
        <v>35</v>
      </c>
      <c r="AE459" s="19" t="s">
        <v>36</v>
      </c>
    </row>
    <row r="460" spans="1:31" ht="14.4" x14ac:dyDescent="0.3">
      <c r="A460" s="6">
        <v>4518</v>
      </c>
      <c r="B460" s="7" t="s">
        <v>336</v>
      </c>
      <c r="C460" s="8">
        <v>919</v>
      </c>
      <c r="D460" s="92" t="s">
        <v>202</v>
      </c>
      <c r="E460" s="6" t="s">
        <v>33</v>
      </c>
      <c r="F460" s="10">
        <v>45666</v>
      </c>
      <c r="G460" s="10">
        <v>45700</v>
      </c>
      <c r="H460" s="11">
        <v>925</v>
      </c>
      <c r="I460" s="12">
        <v>1115</v>
      </c>
      <c r="J460" s="13"/>
      <c r="K460" s="36">
        <v>45705</v>
      </c>
      <c r="L460" s="11"/>
      <c r="M460" s="11"/>
      <c r="T460" s="78" t="str">
        <f t="shared" ca="1" si="208"/>
        <v/>
      </c>
      <c r="U460" s="78" t="str">
        <f t="shared" ref="U460:U464" ca="1" si="209">IF(E460="Document", IF(G460="", "", TODAY() - G460), "")</f>
        <v/>
      </c>
      <c r="V460" s="78"/>
      <c r="W460" s="78"/>
      <c r="X460" s="74" t="s">
        <v>34</v>
      </c>
      <c r="Y460" s="18"/>
      <c r="Z460" s="18"/>
      <c r="AA460" s="18"/>
      <c r="AD460" s="6" t="s">
        <v>35</v>
      </c>
      <c r="AE460" s="19" t="s">
        <v>36</v>
      </c>
    </row>
    <row r="461" spans="1:31" ht="14.4" x14ac:dyDescent="0.3">
      <c r="A461" s="21">
        <v>4711</v>
      </c>
      <c r="B461" s="7" t="s">
        <v>37</v>
      </c>
      <c r="C461" s="8">
        <v>919</v>
      </c>
      <c r="D461" s="92" t="s">
        <v>38</v>
      </c>
      <c r="E461" s="21" t="s">
        <v>77</v>
      </c>
      <c r="F461" s="10">
        <v>45839</v>
      </c>
      <c r="G461" s="10">
        <v>45844</v>
      </c>
      <c r="H461" s="25"/>
      <c r="I461" s="39"/>
      <c r="J461" s="40"/>
      <c r="K461" s="14">
        <v>45848</v>
      </c>
      <c r="L461" s="22"/>
      <c r="M461" s="22"/>
      <c r="T461" s="82" t="str">
        <f t="shared" ref="T461:T464" ca="1" si="210">IF($U461="","",IF($U461&lt;=3,"Excellent",IF($U461&lt;=7,"Good",IF($U461&lt;=14,"Average",IF($U461&lt;=30,"Poor",IF($U461&gt;=30,"Bad"))))))</f>
        <v/>
      </c>
      <c r="U461" s="82" t="str">
        <f t="shared" ca="1" si="209"/>
        <v/>
      </c>
      <c r="V461" s="75">
        <f>81</f>
        <v>81</v>
      </c>
      <c r="W461" s="83" t="s">
        <v>475</v>
      </c>
      <c r="X461" s="82"/>
      <c r="Y461" s="28"/>
      <c r="Z461" s="28"/>
      <c r="AA461" s="28"/>
      <c r="AD461" s="21" t="s">
        <v>35</v>
      </c>
      <c r="AE461" s="19" t="s">
        <v>36</v>
      </c>
    </row>
    <row r="462" spans="1:31" ht="14.4" x14ac:dyDescent="0.3">
      <c r="A462" s="6">
        <v>4581</v>
      </c>
      <c r="B462" s="7" t="s">
        <v>476</v>
      </c>
      <c r="C462" s="8">
        <v>933</v>
      </c>
      <c r="D462" s="92" t="s">
        <v>32</v>
      </c>
      <c r="E462" s="6" t="s">
        <v>33</v>
      </c>
      <c r="F462" s="10">
        <v>45712</v>
      </c>
      <c r="G462" s="10">
        <v>45716</v>
      </c>
      <c r="H462" s="11">
        <v>178</v>
      </c>
      <c r="I462" s="12">
        <v>233</v>
      </c>
      <c r="J462" s="13"/>
      <c r="K462" s="14">
        <v>45865</v>
      </c>
      <c r="L462" s="11"/>
      <c r="M462" s="11"/>
      <c r="T462" s="78" t="str">
        <f t="shared" ca="1" si="210"/>
        <v/>
      </c>
      <c r="U462" s="78" t="str">
        <f t="shared" ca="1" si="209"/>
        <v/>
      </c>
      <c r="V462" s="73">
        <f>25</f>
        <v>25</v>
      </c>
      <c r="W462" s="74" t="s">
        <v>203</v>
      </c>
      <c r="X462" s="74" t="s">
        <v>160</v>
      </c>
      <c r="Y462" s="18"/>
      <c r="Z462" s="18"/>
      <c r="AA462" s="18"/>
      <c r="AD462" s="6" t="s">
        <v>35</v>
      </c>
      <c r="AE462" s="19" t="s">
        <v>36</v>
      </c>
    </row>
    <row r="463" spans="1:31" ht="14.4" x14ac:dyDescent="0.3">
      <c r="A463" s="6">
        <v>4731</v>
      </c>
      <c r="B463" s="20" t="s">
        <v>318</v>
      </c>
      <c r="C463" s="8">
        <v>933</v>
      </c>
      <c r="D463" s="92" t="s">
        <v>76</v>
      </c>
      <c r="E463" s="6" t="s">
        <v>33</v>
      </c>
      <c r="F463" s="10">
        <v>45838</v>
      </c>
      <c r="G463" s="10">
        <v>45845</v>
      </c>
      <c r="H463" s="11">
        <v>27</v>
      </c>
      <c r="I463" s="12">
        <v>27</v>
      </c>
      <c r="J463" s="13"/>
      <c r="K463" s="14">
        <v>45849</v>
      </c>
      <c r="L463" s="11"/>
      <c r="M463" s="11"/>
      <c r="T463" s="78" t="str">
        <f t="shared" ca="1" si="210"/>
        <v/>
      </c>
      <c r="U463" s="78" t="str">
        <f t="shared" ca="1" si="209"/>
        <v/>
      </c>
      <c r="V463" s="78"/>
      <c r="W463" s="74" t="s">
        <v>40</v>
      </c>
      <c r="X463" s="74" t="s">
        <v>159</v>
      </c>
      <c r="Y463" s="18"/>
      <c r="Z463" s="18"/>
      <c r="AA463" s="18"/>
      <c r="AD463" s="6" t="s">
        <v>35</v>
      </c>
      <c r="AE463" s="19" t="s">
        <v>36</v>
      </c>
    </row>
    <row r="464" spans="1:31" ht="14.4" x14ac:dyDescent="0.3">
      <c r="A464" s="21">
        <v>4855</v>
      </c>
      <c r="B464" s="37" t="s">
        <v>37</v>
      </c>
      <c r="C464" s="8">
        <v>933</v>
      </c>
      <c r="D464" s="92" t="s">
        <v>38</v>
      </c>
      <c r="E464" s="21" t="s">
        <v>33</v>
      </c>
      <c r="F464" s="42">
        <v>45936</v>
      </c>
      <c r="G464" s="42">
        <v>45937</v>
      </c>
      <c r="H464" s="22">
        <v>45</v>
      </c>
      <c r="I464" s="23">
        <v>65</v>
      </c>
      <c r="J464" s="24"/>
      <c r="K464" s="14">
        <v>45938</v>
      </c>
      <c r="L464" s="22"/>
      <c r="M464" s="22"/>
      <c r="T464" s="82" t="str">
        <f t="shared" ca="1" si="210"/>
        <v/>
      </c>
      <c r="U464" s="82" t="str">
        <f t="shared" ca="1" si="209"/>
        <v/>
      </c>
      <c r="V464" s="82"/>
      <c r="W464" s="83" t="s">
        <v>206</v>
      </c>
      <c r="X464" s="83" t="s">
        <v>102</v>
      </c>
      <c r="Y464" s="28"/>
      <c r="Z464" s="28"/>
      <c r="AA464" s="28"/>
      <c r="AD464" s="21" t="s">
        <v>35</v>
      </c>
      <c r="AE464" s="19" t="s">
        <v>36</v>
      </c>
    </row>
    <row r="465" spans="1:31" ht="14.4" x14ac:dyDescent="0.3">
      <c r="A465" s="21">
        <v>5114</v>
      </c>
      <c r="B465" s="26" t="s">
        <v>477</v>
      </c>
      <c r="C465" s="8">
        <v>935</v>
      </c>
      <c r="D465" s="92" t="s">
        <v>32</v>
      </c>
      <c r="E465" s="21" t="s">
        <v>33</v>
      </c>
      <c r="F465" s="27">
        <v>46118</v>
      </c>
      <c r="G465" s="27">
        <v>46122</v>
      </c>
      <c r="H465" s="29">
        <v>222</v>
      </c>
      <c r="I465" s="30">
        <v>262</v>
      </c>
      <c r="J465" s="21"/>
      <c r="K465" s="48">
        <v>46125</v>
      </c>
      <c r="L465" s="29"/>
      <c r="M465" s="29"/>
      <c r="N465" s="69">
        <v>46125</v>
      </c>
      <c r="O465" s="70"/>
      <c r="P465" s="70"/>
      <c r="Q465" s="71"/>
      <c r="R465" s="71" t="str">
        <f>IF(Q465,Q465-K465,"")</f>
        <v/>
      </c>
      <c r="S465" s="71" t="str">
        <f>IF(R465="","",IF(R465&lt;=4,"Excellent",IF(R465&lt;=8,"Good",IF(R465&lt;=15,"Average",IF(R465&lt;=30,"Poor",IF(R465&gt;=30,"Bad"))))))</f>
        <v/>
      </c>
      <c r="T465" s="72"/>
      <c r="U465" s="73"/>
      <c r="V465" s="73"/>
      <c r="W465" s="74" t="s">
        <v>394</v>
      </c>
      <c r="X465" s="74" t="s">
        <v>394</v>
      </c>
      <c r="Y465" s="75"/>
      <c r="Z465" s="75"/>
      <c r="AD465" s="21" t="s">
        <v>35</v>
      </c>
      <c r="AE465" s="19" t="s">
        <v>36</v>
      </c>
    </row>
    <row r="466" spans="1:31" ht="14.4" x14ac:dyDescent="0.3">
      <c r="A466" s="6">
        <v>4611</v>
      </c>
      <c r="B466" s="7" t="s">
        <v>47</v>
      </c>
      <c r="C466" s="8">
        <v>935</v>
      </c>
      <c r="D466" s="92" t="s">
        <v>32</v>
      </c>
      <c r="E466" s="6" t="s">
        <v>33</v>
      </c>
      <c r="F466" s="10">
        <v>45734</v>
      </c>
      <c r="G466" s="10">
        <v>45735</v>
      </c>
      <c r="H466" s="11">
        <v>166</v>
      </c>
      <c r="I466" s="12">
        <v>221</v>
      </c>
      <c r="J466" s="13"/>
      <c r="K466" s="36">
        <v>45736</v>
      </c>
      <c r="L466" s="11"/>
      <c r="M466" s="11"/>
      <c r="T466" s="78" t="str">
        <f t="shared" ref="T466:T467" ca="1" si="211">IF($U466="","",IF($U466&lt;=3,"Excellent",IF($U466&lt;=7,"Good",IF($U466&lt;=14,"Average",IF($U466&lt;=30,"Poor",IF($U466&gt;=30,"Bad"))))))</f>
        <v/>
      </c>
      <c r="U466" s="78" t="str">
        <f t="shared" ref="U466:U467" ca="1" si="212">IF(E466="Document", IF(G466="", "", TODAY() - G466), "")</f>
        <v/>
      </c>
      <c r="V466" s="78"/>
      <c r="W466" s="78"/>
      <c r="X466" s="74" t="s">
        <v>34</v>
      </c>
      <c r="Y466" s="18"/>
      <c r="Z466" s="18"/>
      <c r="AA466" s="18"/>
      <c r="AD466" s="6" t="s">
        <v>35</v>
      </c>
      <c r="AE466" s="19" t="s">
        <v>36</v>
      </c>
    </row>
    <row r="467" spans="1:31" ht="14.4" x14ac:dyDescent="0.3">
      <c r="A467" s="6">
        <v>4687</v>
      </c>
      <c r="B467" s="7" t="s">
        <v>185</v>
      </c>
      <c r="C467" s="8">
        <v>935</v>
      </c>
      <c r="D467" s="92" t="s">
        <v>57</v>
      </c>
      <c r="E467" s="6" t="s">
        <v>33</v>
      </c>
      <c r="F467" s="10">
        <v>45763</v>
      </c>
      <c r="G467" s="10">
        <v>45768</v>
      </c>
      <c r="H467" s="11">
        <v>55</v>
      </c>
      <c r="I467" s="12">
        <v>100</v>
      </c>
      <c r="J467" s="13"/>
      <c r="K467" s="14">
        <v>45768</v>
      </c>
      <c r="L467" s="11"/>
      <c r="M467" s="11"/>
      <c r="T467" s="78" t="str">
        <f t="shared" ca="1" si="211"/>
        <v/>
      </c>
      <c r="U467" s="78" t="str">
        <f t="shared" ca="1" si="212"/>
        <v/>
      </c>
      <c r="V467" s="78"/>
      <c r="W467" s="74" t="s">
        <v>106</v>
      </c>
      <c r="X467" s="74" t="s">
        <v>478</v>
      </c>
      <c r="Y467" s="18"/>
      <c r="Z467" s="18"/>
      <c r="AA467" s="18"/>
      <c r="AD467" s="6" t="s">
        <v>35</v>
      </c>
      <c r="AE467" s="19" t="s">
        <v>36</v>
      </c>
    </row>
    <row r="468" spans="1:31" ht="14.4" x14ac:dyDescent="0.3">
      <c r="A468" s="8">
        <v>5015</v>
      </c>
      <c r="B468" s="43" t="s">
        <v>479</v>
      </c>
      <c r="C468" s="8">
        <v>942</v>
      </c>
      <c r="D468" s="95" t="s">
        <v>57</v>
      </c>
      <c r="E468" s="8" t="s">
        <v>33</v>
      </c>
      <c r="F468" s="45">
        <v>46042</v>
      </c>
      <c r="G468" s="45">
        <v>46042</v>
      </c>
      <c r="H468" s="46">
        <v>12</v>
      </c>
      <c r="I468" s="47">
        <v>17</v>
      </c>
      <c r="J468" s="8"/>
      <c r="K468" s="48">
        <v>46098</v>
      </c>
      <c r="L468" s="46"/>
      <c r="M468" s="46"/>
      <c r="N468" s="91">
        <v>46098</v>
      </c>
      <c r="O468" s="87"/>
      <c r="P468" s="87"/>
      <c r="Q468" s="88"/>
      <c r="R468" s="88" t="str">
        <f t="shared" ref="R468:R469" si="213">IF(Q468,Q468-K468,"")</f>
        <v/>
      </c>
      <c r="S468" s="88" t="str">
        <f t="shared" ref="S468:S469" si="214">IF(R468="","",IF(R468&lt;=4,"Excellent",IF(R468&lt;=8,"Good",IF(R468&lt;=15,"Average",IF(R468&lt;=30,"Poor",IF(R468&gt;=30,"Bad"))))))</f>
        <v/>
      </c>
      <c r="T468" s="72" t="str">
        <f t="shared" ref="T468:T469" ca="1" si="215">IF(U468="","",IF(U468&lt;=3,"Excellent",IF(U468&lt;=7,"Good",IF(U468&lt;=14,"Average",IF(U468&lt;=30,"Poor",IF(U468&gt;=30,"Bad"))))))</f>
        <v/>
      </c>
      <c r="U468" s="73" t="str">
        <f ca="1">IF(E468="Document", IF(#REF!="", "", TODAY() -#REF!), "")</f>
        <v/>
      </c>
      <c r="V468" s="73">
        <f>7</f>
        <v>7</v>
      </c>
      <c r="W468" s="74" t="s">
        <v>480</v>
      </c>
      <c r="X468" s="74" t="s">
        <v>141</v>
      </c>
      <c r="Y468" s="89"/>
      <c r="Z468" s="89"/>
      <c r="AD468" s="8" t="s">
        <v>35</v>
      </c>
      <c r="AE468" s="19" t="s">
        <v>36</v>
      </c>
    </row>
    <row r="469" spans="1:31" ht="14.4" x14ac:dyDescent="0.3">
      <c r="A469" s="21">
        <v>5038</v>
      </c>
      <c r="B469" s="26" t="s">
        <v>481</v>
      </c>
      <c r="C469" s="8">
        <v>959</v>
      </c>
      <c r="D469" s="92" t="s">
        <v>32</v>
      </c>
      <c r="E469" s="21" t="s">
        <v>33</v>
      </c>
      <c r="F469" s="27">
        <v>46051</v>
      </c>
      <c r="G469" s="27">
        <v>46052</v>
      </c>
      <c r="H469" s="29">
        <v>252</v>
      </c>
      <c r="I469" s="30">
        <v>272</v>
      </c>
      <c r="J469" s="21"/>
      <c r="K469" s="31">
        <v>46053</v>
      </c>
      <c r="L469" s="29"/>
      <c r="M469" s="29"/>
      <c r="N469" s="69">
        <v>46055</v>
      </c>
      <c r="O469" s="70"/>
      <c r="P469" s="70"/>
      <c r="Q469" s="71"/>
      <c r="R469" s="71" t="str">
        <f t="shared" si="213"/>
        <v/>
      </c>
      <c r="S469" s="71" t="str">
        <f t="shared" si="214"/>
        <v/>
      </c>
      <c r="T469" s="68" t="str">
        <f t="shared" ca="1" si="215"/>
        <v/>
      </c>
      <c r="U469" s="68" t="str">
        <f ca="1">IF(E469="Document", IF(#REF!="", "", TODAY() -#REF!), "")</f>
        <v/>
      </c>
      <c r="V469" s="68"/>
      <c r="W469" s="78" t="s">
        <v>87</v>
      </c>
      <c r="X469" s="78" t="s">
        <v>93</v>
      </c>
      <c r="Y469" s="75"/>
      <c r="Z469" s="75"/>
      <c r="AD469" s="21" t="s">
        <v>35</v>
      </c>
      <c r="AE469" s="19" t="s">
        <v>36</v>
      </c>
    </row>
    <row r="470" spans="1:31" ht="14.4" x14ac:dyDescent="0.3">
      <c r="A470" s="21">
        <v>4818</v>
      </c>
      <c r="B470" s="55" t="s">
        <v>37</v>
      </c>
      <c r="C470" s="8">
        <v>959</v>
      </c>
      <c r="D470" s="92" t="s">
        <v>38</v>
      </c>
      <c r="E470" s="21" t="s">
        <v>33</v>
      </c>
      <c r="F470" s="10">
        <v>45908</v>
      </c>
      <c r="G470" s="10">
        <v>45912</v>
      </c>
      <c r="H470" s="22">
        <v>260</v>
      </c>
      <c r="I470" s="23">
        <v>260</v>
      </c>
      <c r="J470" s="24"/>
      <c r="K470" s="14">
        <v>45914</v>
      </c>
      <c r="L470" s="22"/>
      <c r="M470" s="22"/>
      <c r="T470" s="82" t="str">
        <f ca="1">IF($U470="","",IF($U470&lt;=3,"Excellent",IF($U470&lt;=7,"Good",IF($U470&lt;=14,"Average",IF($U470&lt;=30,"Poor",IF($U470&gt;=30,"Bad"))))))</f>
        <v/>
      </c>
      <c r="U470" s="82" t="str">
        <f t="shared" ref="U470:U472" ca="1" si="216">IF(E470="Document", IF(G470="", "", TODAY() - G470), "")</f>
        <v/>
      </c>
      <c r="V470" s="82"/>
      <c r="W470" s="83" t="s">
        <v>482</v>
      </c>
      <c r="X470" s="83" t="s">
        <v>171</v>
      </c>
      <c r="Y470" s="28"/>
      <c r="Z470" s="28"/>
      <c r="AA470" s="28"/>
      <c r="AD470" s="21" t="s">
        <v>35</v>
      </c>
      <c r="AE470" s="19" t="s">
        <v>36</v>
      </c>
    </row>
    <row r="471" spans="1:31" ht="14.4" x14ac:dyDescent="0.3">
      <c r="A471" s="6">
        <v>4516</v>
      </c>
      <c r="B471" s="7" t="s">
        <v>483</v>
      </c>
      <c r="C471" s="8">
        <v>960</v>
      </c>
      <c r="D471" s="92" t="s">
        <v>484</v>
      </c>
      <c r="E471" s="6" t="s">
        <v>33</v>
      </c>
      <c r="F471" s="10">
        <v>45665</v>
      </c>
      <c r="G471" s="10">
        <v>45665</v>
      </c>
      <c r="H471" s="11">
        <v>65</v>
      </c>
      <c r="I471" s="12">
        <v>65</v>
      </c>
      <c r="J471" s="13"/>
      <c r="K471" s="14">
        <v>45667</v>
      </c>
      <c r="L471" s="11"/>
      <c r="M471" s="11"/>
      <c r="T471" s="78" t="str">
        <f ca="1">IF(U471="","",IF(U471&lt;=3,"Excellent",IF(U471&lt;=7,"Good",IF(U471&lt;=14,"Average",IF(U471&lt;=30,"Poor",IF(U471&gt;=30,"Bad"))))))</f>
        <v/>
      </c>
      <c r="U471" s="78" t="str">
        <f t="shared" ca="1" si="216"/>
        <v/>
      </c>
      <c r="V471" s="73">
        <f>8</f>
        <v>8</v>
      </c>
      <c r="W471" s="74" t="s">
        <v>485</v>
      </c>
      <c r="X471" s="74" t="s">
        <v>59</v>
      </c>
      <c r="Y471" s="18"/>
      <c r="Z471" s="18"/>
      <c r="AA471" s="18"/>
      <c r="AD471" s="6" t="s">
        <v>35</v>
      </c>
      <c r="AE471" s="19" t="s">
        <v>36</v>
      </c>
    </row>
    <row r="472" spans="1:31" ht="14.4" x14ac:dyDescent="0.3">
      <c r="A472" s="6">
        <v>4574</v>
      </c>
      <c r="B472" s="7" t="s">
        <v>486</v>
      </c>
      <c r="C472" s="8">
        <v>960</v>
      </c>
      <c r="D472" s="92" t="s">
        <v>76</v>
      </c>
      <c r="E472" s="6" t="s">
        <v>33</v>
      </c>
      <c r="F472" s="10">
        <v>45692</v>
      </c>
      <c r="G472" s="10">
        <v>45705</v>
      </c>
      <c r="H472" s="11">
        <v>27</v>
      </c>
      <c r="I472" s="12">
        <v>27</v>
      </c>
      <c r="J472" s="13"/>
      <c r="K472" s="14">
        <v>45712</v>
      </c>
      <c r="L472" s="11"/>
      <c r="M472" s="11"/>
      <c r="T472" s="78" t="str">
        <f ca="1">IF($U472="","",IF($U472&lt;=3,"Excellent",IF($U472&lt;=7,"Good",IF($U472&lt;=14,"Average",IF($U472&lt;=30,"Poor",IF($U472&gt;=30,"Bad"))))))</f>
        <v/>
      </c>
      <c r="U472" s="78" t="str">
        <f t="shared" ca="1" si="216"/>
        <v/>
      </c>
      <c r="V472" s="73">
        <f>19</f>
        <v>19</v>
      </c>
      <c r="W472" s="74" t="s">
        <v>487</v>
      </c>
      <c r="X472" s="74" t="s">
        <v>161</v>
      </c>
      <c r="Y472" s="18"/>
      <c r="Z472" s="18"/>
      <c r="AA472" s="18"/>
      <c r="AD472" s="6" t="s">
        <v>35</v>
      </c>
      <c r="AE472" s="19" t="s">
        <v>36</v>
      </c>
    </row>
    <row r="473" spans="1:31" ht="14.4" x14ac:dyDescent="0.3">
      <c r="A473" s="21">
        <v>5120</v>
      </c>
      <c r="B473" s="26" t="s">
        <v>37</v>
      </c>
      <c r="C473" s="8">
        <v>968</v>
      </c>
      <c r="D473" s="92" t="s">
        <v>38</v>
      </c>
      <c r="E473" s="21" t="s">
        <v>62</v>
      </c>
      <c r="F473" s="27">
        <v>46125</v>
      </c>
      <c r="G473" s="27">
        <v>46129</v>
      </c>
      <c r="H473" s="29"/>
      <c r="I473" s="30"/>
      <c r="J473" s="21"/>
      <c r="K473" s="48"/>
      <c r="L473" s="29"/>
      <c r="M473" s="29"/>
      <c r="N473" s="69"/>
      <c r="O473" s="70"/>
      <c r="P473" s="70"/>
      <c r="Q473" s="71"/>
      <c r="R473" s="71" t="str">
        <f>IF(Q473,Q473-K473,"")</f>
        <v/>
      </c>
      <c r="S473" s="71" t="str">
        <f>IF(R473="","",IF(R473&lt;=4,"Excellent",IF(R473&lt;=8,"Good",IF(R473&lt;=15,"Average",IF(R473&lt;=30,"Poor",IF(R473&gt;=30,"Bad"))))))</f>
        <v/>
      </c>
      <c r="T473" s="72"/>
      <c r="U473" s="73"/>
      <c r="V473" s="73"/>
      <c r="W473" s="74"/>
      <c r="X473" s="74"/>
      <c r="Y473" s="75"/>
      <c r="Z473" s="75"/>
      <c r="AD473" s="21" t="s">
        <v>35</v>
      </c>
      <c r="AE473" s="19" t="s">
        <v>36</v>
      </c>
    </row>
    <row r="474" spans="1:31" ht="14.4" x14ac:dyDescent="0.3">
      <c r="A474" s="6">
        <v>4528</v>
      </c>
      <c r="B474" s="7" t="s">
        <v>488</v>
      </c>
      <c r="C474" s="8">
        <v>970</v>
      </c>
      <c r="D474" s="92" t="s">
        <v>32</v>
      </c>
      <c r="E474" s="6" t="s">
        <v>33</v>
      </c>
      <c r="F474" s="10">
        <v>45678</v>
      </c>
      <c r="G474" s="10">
        <v>45678</v>
      </c>
      <c r="H474" s="11">
        <v>28</v>
      </c>
      <c r="I474" s="12">
        <v>28</v>
      </c>
      <c r="J474" s="13"/>
      <c r="K474" s="14">
        <v>45680</v>
      </c>
      <c r="L474" s="11"/>
      <c r="M474" s="11"/>
      <c r="T474" s="78" t="str">
        <f t="shared" ref="T474:T481" ca="1" si="217">IF($U474="","",IF($U474&lt;=3,"Excellent",IF($U474&lt;=7,"Good",IF($U474&lt;=14,"Average",IF($U474&lt;=30,"Poor",IF($U474&gt;=30,"Bad"))))))</f>
        <v/>
      </c>
      <c r="U474" s="78" t="str">
        <f t="shared" ref="U474:U481" ca="1" si="218">IF(E474="Document", IF(G474="", "", TODAY() - G474), "")</f>
        <v/>
      </c>
      <c r="V474" s="73">
        <f>8</f>
        <v>8</v>
      </c>
      <c r="W474" s="74" t="s">
        <v>485</v>
      </c>
      <c r="X474" s="74" t="s">
        <v>59</v>
      </c>
      <c r="Y474" s="18"/>
      <c r="Z474" s="18"/>
      <c r="AA474" s="18"/>
      <c r="AD474" s="6" t="s">
        <v>35</v>
      </c>
      <c r="AE474" s="19" t="s">
        <v>36</v>
      </c>
    </row>
    <row r="475" spans="1:31" ht="14.4" x14ac:dyDescent="0.3">
      <c r="A475" s="6">
        <v>4539</v>
      </c>
      <c r="B475" s="7" t="s">
        <v>284</v>
      </c>
      <c r="C475" s="8">
        <v>970</v>
      </c>
      <c r="D475" s="92" t="s">
        <v>38</v>
      </c>
      <c r="E475" s="6" t="s">
        <v>33</v>
      </c>
      <c r="F475" s="10">
        <v>45681</v>
      </c>
      <c r="G475" s="10">
        <v>45681</v>
      </c>
      <c r="H475" s="11">
        <v>45</v>
      </c>
      <c r="I475" s="12">
        <v>45</v>
      </c>
      <c r="J475" s="13"/>
      <c r="K475" s="36">
        <v>45681</v>
      </c>
      <c r="L475" s="11"/>
      <c r="M475" s="11"/>
      <c r="T475" s="78" t="str">
        <f t="shared" ca="1" si="217"/>
        <v/>
      </c>
      <c r="U475" s="78" t="str">
        <f t="shared" ca="1" si="218"/>
        <v/>
      </c>
      <c r="V475" s="78"/>
      <c r="W475" s="78"/>
      <c r="X475" s="74" t="s">
        <v>34</v>
      </c>
      <c r="Y475" s="18"/>
      <c r="Z475" s="18"/>
      <c r="AA475" s="18"/>
      <c r="AD475" s="6" t="s">
        <v>35</v>
      </c>
      <c r="AE475" s="19" t="s">
        <v>36</v>
      </c>
    </row>
    <row r="476" spans="1:31" ht="14.4" x14ac:dyDescent="0.3">
      <c r="A476" s="6">
        <v>4559</v>
      </c>
      <c r="B476" s="7" t="s">
        <v>489</v>
      </c>
      <c r="C476" s="8">
        <v>970</v>
      </c>
      <c r="D476" s="92" t="s">
        <v>38</v>
      </c>
      <c r="E476" s="6" t="s">
        <v>33</v>
      </c>
      <c r="F476" s="10">
        <v>45698</v>
      </c>
      <c r="G476" s="10">
        <v>45698</v>
      </c>
      <c r="H476" s="11">
        <v>37</v>
      </c>
      <c r="I476" s="12">
        <v>37</v>
      </c>
      <c r="J476" s="13"/>
      <c r="K476" s="36">
        <v>45699</v>
      </c>
      <c r="L476" s="11"/>
      <c r="M476" s="11"/>
      <c r="T476" s="78" t="str">
        <f t="shared" ca="1" si="217"/>
        <v/>
      </c>
      <c r="U476" s="78" t="str">
        <f t="shared" ca="1" si="218"/>
        <v/>
      </c>
      <c r="V476" s="78"/>
      <c r="W476" s="78"/>
      <c r="X476" s="74" t="s">
        <v>34</v>
      </c>
      <c r="Y476" s="18"/>
      <c r="Z476" s="18"/>
      <c r="AA476" s="18"/>
      <c r="AD476" s="6" t="s">
        <v>35</v>
      </c>
      <c r="AE476" s="19" t="s">
        <v>36</v>
      </c>
    </row>
    <row r="477" spans="1:31" ht="14.4" x14ac:dyDescent="0.3">
      <c r="A477" s="6">
        <v>4605</v>
      </c>
      <c r="B477" s="7" t="s">
        <v>65</v>
      </c>
      <c r="C477" s="8">
        <v>970</v>
      </c>
      <c r="D477" s="92" t="s">
        <v>32</v>
      </c>
      <c r="E477" s="6" t="s">
        <v>33</v>
      </c>
      <c r="F477" s="10">
        <v>45726</v>
      </c>
      <c r="G477" s="10">
        <v>45726</v>
      </c>
      <c r="H477" s="11">
        <v>85</v>
      </c>
      <c r="I477" s="12">
        <v>125</v>
      </c>
      <c r="J477" s="13"/>
      <c r="K477" s="36">
        <v>45727</v>
      </c>
      <c r="L477" s="11"/>
      <c r="M477" s="11"/>
      <c r="T477" s="78" t="str">
        <f t="shared" ca="1" si="217"/>
        <v/>
      </c>
      <c r="U477" s="78" t="str">
        <f t="shared" ca="1" si="218"/>
        <v/>
      </c>
      <c r="V477" s="78"/>
      <c r="W477" s="78"/>
      <c r="X477" s="74" t="s">
        <v>34</v>
      </c>
      <c r="Y477" s="18"/>
      <c r="Z477" s="18"/>
      <c r="AA477" s="18"/>
      <c r="AD477" s="6" t="s">
        <v>35</v>
      </c>
      <c r="AE477" s="19" t="s">
        <v>36</v>
      </c>
    </row>
    <row r="478" spans="1:31" ht="14.4" x14ac:dyDescent="0.3">
      <c r="A478" s="6">
        <v>4658</v>
      </c>
      <c r="B478" s="7" t="s">
        <v>84</v>
      </c>
      <c r="C478" s="8">
        <v>970</v>
      </c>
      <c r="D478" s="92" t="s">
        <v>38</v>
      </c>
      <c r="E478" s="6" t="s">
        <v>33</v>
      </c>
      <c r="F478" s="10">
        <v>45786</v>
      </c>
      <c r="G478" s="10">
        <v>45790</v>
      </c>
      <c r="H478" s="11">
        <v>155</v>
      </c>
      <c r="I478" s="12">
        <v>240</v>
      </c>
      <c r="J478" s="13"/>
      <c r="K478" s="90">
        <v>45791</v>
      </c>
      <c r="L478" s="11"/>
      <c r="M478" s="11"/>
      <c r="T478" s="78" t="str">
        <f t="shared" ca="1" si="217"/>
        <v/>
      </c>
      <c r="U478" s="78" t="str">
        <f t="shared" ca="1" si="218"/>
        <v/>
      </c>
      <c r="V478" s="78"/>
      <c r="W478" s="78"/>
      <c r="X478" s="74" t="s">
        <v>34</v>
      </c>
      <c r="Y478" s="18"/>
      <c r="Z478" s="18"/>
      <c r="AA478" s="18"/>
      <c r="AD478" s="6" t="s">
        <v>35</v>
      </c>
      <c r="AE478" s="19" t="s">
        <v>36</v>
      </c>
    </row>
    <row r="479" spans="1:31" ht="14.4" x14ac:dyDescent="0.3">
      <c r="A479" s="6">
        <v>4661</v>
      </c>
      <c r="B479" s="7" t="s">
        <v>490</v>
      </c>
      <c r="C479" s="8">
        <v>970</v>
      </c>
      <c r="D479" s="92" t="s">
        <v>38</v>
      </c>
      <c r="E479" s="6" t="s">
        <v>33</v>
      </c>
      <c r="F479" s="10">
        <v>45796</v>
      </c>
      <c r="G479" s="10">
        <v>45797</v>
      </c>
      <c r="H479" s="11">
        <v>80</v>
      </c>
      <c r="I479" s="12">
        <v>145</v>
      </c>
      <c r="J479" s="13"/>
      <c r="K479" s="14">
        <v>45798</v>
      </c>
      <c r="L479" s="11"/>
      <c r="M479" s="11"/>
      <c r="T479" s="78" t="str">
        <f t="shared" ca="1" si="217"/>
        <v/>
      </c>
      <c r="U479" s="78" t="str">
        <f t="shared" ca="1" si="218"/>
        <v/>
      </c>
      <c r="V479" s="78"/>
      <c r="W479" s="78"/>
      <c r="X479" s="74" t="s">
        <v>34</v>
      </c>
      <c r="Y479" s="18"/>
      <c r="Z479" s="18"/>
      <c r="AA479" s="18"/>
      <c r="AD479" s="6" t="s">
        <v>35</v>
      </c>
      <c r="AE479" s="19" t="s">
        <v>36</v>
      </c>
    </row>
    <row r="480" spans="1:31" ht="14.4" x14ac:dyDescent="0.3">
      <c r="A480" s="6">
        <v>4699</v>
      </c>
      <c r="B480" s="7" t="s">
        <v>491</v>
      </c>
      <c r="C480" s="8">
        <v>970</v>
      </c>
      <c r="D480" s="92" t="s">
        <v>32</v>
      </c>
      <c r="E480" s="6" t="s">
        <v>33</v>
      </c>
      <c r="F480" s="10">
        <v>45826</v>
      </c>
      <c r="G480" s="10">
        <v>45828</v>
      </c>
      <c r="H480" s="11">
        <v>105</v>
      </c>
      <c r="I480" s="12">
        <v>105</v>
      </c>
      <c r="J480" s="13"/>
      <c r="K480" s="14">
        <v>45831</v>
      </c>
      <c r="L480" s="11"/>
      <c r="M480" s="11"/>
      <c r="T480" s="78" t="str">
        <f t="shared" ca="1" si="217"/>
        <v/>
      </c>
      <c r="U480" s="78" t="str">
        <f t="shared" ca="1" si="218"/>
        <v/>
      </c>
      <c r="V480" s="78"/>
      <c r="W480" s="74" t="s">
        <v>106</v>
      </c>
      <c r="X480" s="74" t="s">
        <v>107</v>
      </c>
      <c r="Y480" s="18"/>
      <c r="Z480" s="18"/>
      <c r="AA480" s="18"/>
      <c r="AD480" s="6" t="s">
        <v>35</v>
      </c>
      <c r="AE480" s="19" t="s">
        <v>36</v>
      </c>
    </row>
    <row r="481" spans="1:31" ht="14.4" x14ac:dyDescent="0.3">
      <c r="A481" s="21">
        <v>4867</v>
      </c>
      <c r="B481" s="37" t="s">
        <v>37</v>
      </c>
      <c r="C481" s="8">
        <v>970</v>
      </c>
      <c r="D481" s="92" t="s">
        <v>38</v>
      </c>
      <c r="E481" s="21" t="s">
        <v>33</v>
      </c>
      <c r="F481" s="66">
        <v>45943</v>
      </c>
      <c r="G481" s="66">
        <v>45943</v>
      </c>
      <c r="H481" s="22">
        <v>65</v>
      </c>
      <c r="I481" s="23">
        <v>115</v>
      </c>
      <c r="J481" s="24"/>
      <c r="K481" s="14">
        <v>45945</v>
      </c>
      <c r="L481" s="22"/>
      <c r="M481" s="22"/>
      <c r="T481" s="82" t="str">
        <f t="shared" ca="1" si="217"/>
        <v/>
      </c>
      <c r="U481" s="82" t="str">
        <f t="shared" ca="1" si="218"/>
        <v/>
      </c>
      <c r="V481" s="75">
        <f>4</f>
        <v>4</v>
      </c>
      <c r="W481" s="83" t="s">
        <v>356</v>
      </c>
      <c r="X481" s="83" t="s">
        <v>275</v>
      </c>
      <c r="Y481" s="28"/>
      <c r="Z481" s="28"/>
      <c r="AA481" s="28"/>
      <c r="AD481" s="21" t="s">
        <v>35</v>
      </c>
      <c r="AE481" s="19" t="s">
        <v>36</v>
      </c>
    </row>
    <row r="482" spans="1:31" ht="14.4" x14ac:dyDescent="0.3">
      <c r="A482" s="21">
        <v>5030</v>
      </c>
      <c r="B482" s="26" t="s">
        <v>79</v>
      </c>
      <c r="C482" s="8">
        <v>977</v>
      </c>
      <c r="D482" s="92" t="s">
        <v>76</v>
      </c>
      <c r="E482" s="6" t="s">
        <v>33</v>
      </c>
      <c r="F482" s="27">
        <v>46034</v>
      </c>
      <c r="G482" s="27">
        <v>46034</v>
      </c>
      <c r="H482" s="29">
        <v>27</v>
      </c>
      <c r="I482" s="30">
        <v>27</v>
      </c>
      <c r="J482" s="21"/>
      <c r="K482" s="31">
        <v>46045</v>
      </c>
      <c r="L482" s="29"/>
      <c r="M482" s="29"/>
      <c r="N482" s="69">
        <v>46045</v>
      </c>
      <c r="O482" s="70"/>
      <c r="P482" s="70"/>
      <c r="Q482" s="71"/>
      <c r="R482" s="71" t="str">
        <f>IF(Q482,Q482-K482,"")</f>
        <v/>
      </c>
      <c r="S482" s="71" t="str">
        <f>IF(R482="","",IF(R482&lt;=4,"Excellent",IF(R482&lt;=8,"Good",IF(R482&lt;=15,"Average",IF(R482&lt;=30,"Poor",IF(R482&gt;=30,"Bad"))))))</f>
        <v/>
      </c>
      <c r="T482" s="68" t="str">
        <f ca="1">IF(U482="","",IF(U482&lt;=3,"Excellent",IF(U482&lt;=7,"Good",IF(U482&lt;=14,"Average",IF(U482&lt;=30,"Poor",IF(U482&gt;=30,"Bad"))))))</f>
        <v/>
      </c>
      <c r="U482" s="68" t="str">
        <f ca="1">IF(E482="Document", IF(#REF!="", "", TODAY() -#REF!), "")</f>
        <v/>
      </c>
      <c r="V482" s="68"/>
      <c r="W482" s="78" t="s">
        <v>93</v>
      </c>
      <c r="X482" s="78" t="s">
        <v>428</v>
      </c>
      <c r="Y482" s="75"/>
      <c r="Z482" s="75"/>
      <c r="AD482" s="21" t="s">
        <v>35</v>
      </c>
      <c r="AE482" s="19" t="s">
        <v>36</v>
      </c>
    </row>
    <row r="483" spans="1:31" ht="14.4" x14ac:dyDescent="0.3">
      <c r="A483" s="21">
        <v>4727</v>
      </c>
      <c r="B483" s="7" t="s">
        <v>492</v>
      </c>
      <c r="C483" s="8">
        <v>977</v>
      </c>
      <c r="D483" s="92" t="s">
        <v>57</v>
      </c>
      <c r="E483" s="21" t="s">
        <v>33</v>
      </c>
      <c r="F483" s="10">
        <v>45861</v>
      </c>
      <c r="G483" s="10">
        <v>45861</v>
      </c>
      <c r="H483" s="22">
        <v>40</v>
      </c>
      <c r="I483" s="23">
        <v>40</v>
      </c>
      <c r="J483" s="24"/>
      <c r="K483" s="14">
        <v>45862</v>
      </c>
      <c r="L483" s="22"/>
      <c r="M483" s="22"/>
      <c r="T483" s="82" t="str">
        <f t="shared" ref="T483:T487" ca="1" si="219">IF($U483="","",IF($U483&lt;=3,"Excellent",IF($U483&lt;=7,"Good",IF($U483&lt;=14,"Average",IF($U483&lt;=30,"Poor",IF($U483&gt;=30,"Bad"))))))</f>
        <v/>
      </c>
      <c r="U483" s="82" t="str">
        <f t="shared" ref="U483:U487" ca="1" si="220">IF(E483="Document", IF(G483="", "", TODAY() - G483), "")</f>
        <v/>
      </c>
      <c r="V483" s="82"/>
      <c r="W483" s="83" t="s">
        <v>291</v>
      </c>
      <c r="X483" s="83" t="s">
        <v>160</v>
      </c>
      <c r="Y483" s="28"/>
      <c r="Z483" s="28"/>
      <c r="AA483" s="28"/>
      <c r="AD483" s="21" t="s">
        <v>35</v>
      </c>
      <c r="AE483" s="19" t="s">
        <v>36</v>
      </c>
    </row>
    <row r="484" spans="1:31" ht="14.4" x14ac:dyDescent="0.3">
      <c r="A484" s="21">
        <v>4791</v>
      </c>
      <c r="B484" s="7" t="s">
        <v>492</v>
      </c>
      <c r="C484" s="8">
        <v>977</v>
      </c>
      <c r="D484" s="92" t="s">
        <v>57</v>
      </c>
      <c r="E484" s="21" t="s">
        <v>33</v>
      </c>
      <c r="F484" s="10">
        <v>45867</v>
      </c>
      <c r="G484" s="10">
        <v>45867</v>
      </c>
      <c r="H484" s="22">
        <v>40</v>
      </c>
      <c r="I484" s="23">
        <v>40</v>
      </c>
      <c r="J484" s="24"/>
      <c r="K484" s="14">
        <v>45882</v>
      </c>
      <c r="L484" s="22"/>
      <c r="M484" s="22"/>
      <c r="T484" s="82" t="str">
        <f t="shared" ca="1" si="219"/>
        <v/>
      </c>
      <c r="U484" s="82" t="str">
        <f t="shared" ca="1" si="220"/>
        <v/>
      </c>
      <c r="V484" s="82"/>
      <c r="W484" s="83" t="s">
        <v>493</v>
      </c>
      <c r="X484" s="83" t="s">
        <v>372</v>
      </c>
      <c r="Y484" s="28"/>
      <c r="Z484" s="28"/>
      <c r="AA484" s="28"/>
      <c r="AD484" s="21" t="s">
        <v>35</v>
      </c>
      <c r="AE484" s="19" t="s">
        <v>36</v>
      </c>
    </row>
    <row r="485" spans="1:31" ht="14.4" x14ac:dyDescent="0.3">
      <c r="A485" s="6">
        <v>4716</v>
      </c>
      <c r="B485" s="7" t="s">
        <v>347</v>
      </c>
      <c r="C485" s="8">
        <v>984</v>
      </c>
      <c r="D485" s="92" t="s">
        <v>57</v>
      </c>
      <c r="E485" s="6" t="s">
        <v>33</v>
      </c>
      <c r="F485" s="10">
        <v>45832</v>
      </c>
      <c r="G485" s="10">
        <v>45833</v>
      </c>
      <c r="H485" s="11">
        <v>45</v>
      </c>
      <c r="I485" s="12">
        <v>85</v>
      </c>
      <c r="J485" s="13"/>
      <c r="K485" s="14">
        <v>45841</v>
      </c>
      <c r="L485" s="11"/>
      <c r="M485" s="11"/>
      <c r="T485" s="78" t="str">
        <f t="shared" ca="1" si="219"/>
        <v/>
      </c>
      <c r="U485" s="78" t="str">
        <f t="shared" ca="1" si="220"/>
        <v/>
      </c>
      <c r="V485" s="78"/>
      <c r="W485" s="78"/>
      <c r="X485" s="74" t="s">
        <v>34</v>
      </c>
      <c r="Y485" s="18"/>
      <c r="Z485" s="18"/>
      <c r="AA485" s="18"/>
      <c r="AD485" s="6" t="s">
        <v>35</v>
      </c>
      <c r="AE485" s="19" t="s">
        <v>36</v>
      </c>
    </row>
    <row r="486" spans="1:31" ht="14.4" x14ac:dyDescent="0.3">
      <c r="A486" s="21">
        <v>4828</v>
      </c>
      <c r="B486" s="55" t="s">
        <v>37</v>
      </c>
      <c r="C486" s="8">
        <v>984</v>
      </c>
      <c r="D486" s="92" t="s">
        <v>38</v>
      </c>
      <c r="E486" s="21" t="s">
        <v>33</v>
      </c>
      <c r="F486" s="10">
        <v>45915</v>
      </c>
      <c r="G486" s="10">
        <v>45929</v>
      </c>
      <c r="H486" s="22">
        <v>205</v>
      </c>
      <c r="I486" s="23">
        <v>225</v>
      </c>
      <c r="J486" s="24"/>
      <c r="K486" s="14">
        <v>45930</v>
      </c>
      <c r="L486" s="22"/>
      <c r="M486" s="22"/>
      <c r="T486" s="82" t="str">
        <f t="shared" ca="1" si="219"/>
        <v/>
      </c>
      <c r="U486" s="82" t="str">
        <f t="shared" ca="1" si="220"/>
        <v/>
      </c>
      <c r="V486" s="75">
        <f>6</f>
        <v>6</v>
      </c>
      <c r="W486" s="83" t="s">
        <v>494</v>
      </c>
      <c r="X486" s="83" t="s">
        <v>424</v>
      </c>
      <c r="Y486" s="28"/>
      <c r="Z486" s="28"/>
      <c r="AA486" s="28"/>
      <c r="AD486" s="21" t="s">
        <v>35</v>
      </c>
      <c r="AE486" s="19" t="s">
        <v>36</v>
      </c>
    </row>
    <row r="487" spans="1:31" ht="14.4" x14ac:dyDescent="0.3">
      <c r="A487" s="21">
        <v>4961</v>
      </c>
      <c r="B487" s="37" t="s">
        <v>495</v>
      </c>
      <c r="C487" s="8">
        <v>984</v>
      </c>
      <c r="D487" s="92" t="s">
        <v>57</v>
      </c>
      <c r="E487" s="21" t="s">
        <v>46</v>
      </c>
      <c r="F487" s="38">
        <v>46003</v>
      </c>
      <c r="G487" s="38">
        <v>46003</v>
      </c>
      <c r="H487" s="25"/>
      <c r="I487" s="39"/>
      <c r="J487" s="40"/>
      <c r="K487" s="41"/>
      <c r="L487" s="25"/>
      <c r="M487" s="25"/>
      <c r="T487" s="81" t="str">
        <f t="shared" ca="1" si="219"/>
        <v>Bad</v>
      </c>
      <c r="U487" s="75">
        <f t="shared" ca="1" si="220"/>
        <v>132</v>
      </c>
      <c r="V487" s="82"/>
      <c r="W487" s="82"/>
      <c r="X487" s="82"/>
      <c r="Y487" s="28"/>
      <c r="Z487" s="28"/>
      <c r="AA487" s="28"/>
      <c r="AD487" s="21" t="s">
        <v>35</v>
      </c>
      <c r="AE487" s="19" t="s">
        <v>36</v>
      </c>
    </row>
    <row r="488" spans="1:31" ht="14.4" x14ac:dyDescent="0.3">
      <c r="A488" s="21">
        <v>5088</v>
      </c>
      <c r="B488" s="26" t="s">
        <v>496</v>
      </c>
      <c r="C488" s="8">
        <v>985</v>
      </c>
      <c r="D488" s="92" t="s">
        <v>57</v>
      </c>
      <c r="E488" s="6" t="s">
        <v>33</v>
      </c>
      <c r="F488" s="27">
        <v>46078</v>
      </c>
      <c r="G488" s="27">
        <v>46078</v>
      </c>
      <c r="H488" s="29">
        <v>10</v>
      </c>
      <c r="I488" s="30">
        <v>20</v>
      </c>
      <c r="J488" s="21"/>
      <c r="K488" s="31">
        <v>46078</v>
      </c>
      <c r="L488" s="29"/>
      <c r="M488" s="29"/>
      <c r="N488" s="69">
        <v>46078</v>
      </c>
      <c r="O488" s="70"/>
      <c r="P488" s="70"/>
      <c r="Q488" s="71"/>
      <c r="R488" s="71" t="str">
        <f>IF(Q488,Q488-K488,"")</f>
        <v/>
      </c>
      <c r="S488" s="71" t="str">
        <f>IF(R488="","",IF(R488&lt;=4,"Excellent",IF(R488&lt;=8,"Good",IF(R488&lt;=15,"Average",IF(R488&lt;=30,"Poor",IF(R488&gt;=30,"Bad"))))))</f>
        <v/>
      </c>
      <c r="T488" s="68" t="str">
        <f ca="1">IF(U488="","",IF(U488&lt;=3,"Excellent",IF(U488&lt;=7,"Good",IF(U488&lt;=14,"Average",IF(U488&lt;=30,"Poor",IF(U488&gt;=30,"Bad"))))))</f>
        <v/>
      </c>
      <c r="U488" s="68" t="str">
        <f ca="1">IF(E488="Document", IF(#REF!="", "", TODAY() -#REF!), "")</f>
        <v/>
      </c>
      <c r="V488" s="68"/>
      <c r="W488" s="78" t="s">
        <v>53</v>
      </c>
      <c r="X488" s="78" t="s">
        <v>70</v>
      </c>
      <c r="Y488" s="75"/>
      <c r="Z488" s="75"/>
      <c r="AD488" s="21" t="s">
        <v>35</v>
      </c>
      <c r="AE488" s="19" t="s">
        <v>36</v>
      </c>
    </row>
    <row r="489" spans="1:31" ht="14.4" x14ac:dyDescent="0.3">
      <c r="A489" s="6">
        <v>4676</v>
      </c>
      <c r="B489" s="7" t="s">
        <v>347</v>
      </c>
      <c r="C489" s="8">
        <v>985</v>
      </c>
      <c r="D489" s="92" t="s">
        <v>57</v>
      </c>
      <c r="E489" s="6" t="s">
        <v>33</v>
      </c>
      <c r="F489" s="10">
        <v>45804</v>
      </c>
      <c r="G489" s="10">
        <v>45804</v>
      </c>
      <c r="H489" s="11">
        <v>45</v>
      </c>
      <c r="I489" s="12">
        <v>85</v>
      </c>
      <c r="J489" s="13"/>
      <c r="K489" s="14">
        <v>45805</v>
      </c>
      <c r="L489" s="11"/>
      <c r="M489" s="11"/>
      <c r="T489" s="78" t="str">
        <f t="shared" ref="T489:T490" ca="1" si="221">IF($U489="","",IF($U489&lt;=3,"Excellent",IF($U489&lt;=7,"Good",IF($U489&lt;=14,"Average",IF($U489&lt;=30,"Poor",IF($U489&gt;=30,"Bad"))))))</f>
        <v/>
      </c>
      <c r="U489" s="78" t="str">
        <f t="shared" ref="U489:U490" ca="1" si="222">IF(E489="Document", IF(G489="", "", TODAY() - G489), "")</f>
        <v/>
      </c>
      <c r="V489" s="78"/>
      <c r="W489" s="78"/>
      <c r="X489" s="74" t="s">
        <v>34</v>
      </c>
      <c r="Y489" s="18"/>
      <c r="Z489" s="18"/>
      <c r="AA489" s="18"/>
      <c r="AD489" s="6" t="s">
        <v>35</v>
      </c>
      <c r="AE489" s="19" t="s">
        <v>36</v>
      </c>
    </row>
    <row r="490" spans="1:31" ht="14.4" x14ac:dyDescent="0.3">
      <c r="A490" s="21">
        <v>4871</v>
      </c>
      <c r="B490" s="37" t="s">
        <v>425</v>
      </c>
      <c r="C490" s="8">
        <v>985</v>
      </c>
      <c r="D490" s="92" t="s">
        <v>57</v>
      </c>
      <c r="E490" s="21" t="s">
        <v>33</v>
      </c>
      <c r="F490" s="66">
        <v>45945</v>
      </c>
      <c r="G490" s="66">
        <v>45945</v>
      </c>
      <c r="H490" s="22">
        <v>10</v>
      </c>
      <c r="I490" s="23">
        <v>20</v>
      </c>
      <c r="J490" s="24"/>
      <c r="K490" s="14">
        <v>45945</v>
      </c>
      <c r="L490" s="22"/>
      <c r="M490" s="22"/>
      <c r="T490" s="82" t="str">
        <f t="shared" ca="1" si="221"/>
        <v/>
      </c>
      <c r="U490" s="82" t="str">
        <f t="shared" ca="1" si="222"/>
        <v/>
      </c>
      <c r="V490" s="75">
        <f>2</f>
        <v>2</v>
      </c>
      <c r="W490" s="83" t="s">
        <v>497</v>
      </c>
      <c r="X490" s="83" t="s">
        <v>275</v>
      </c>
      <c r="Y490" s="28"/>
      <c r="Z490" s="28"/>
      <c r="AA490" s="28"/>
      <c r="AD490" s="21" t="s">
        <v>35</v>
      </c>
      <c r="AE490" s="19" t="s">
        <v>36</v>
      </c>
    </row>
    <row r="491" spans="1:31" ht="14.4" x14ac:dyDescent="0.3">
      <c r="A491" s="21">
        <v>5045</v>
      </c>
      <c r="B491" s="26" t="s">
        <v>498</v>
      </c>
      <c r="C491" s="8">
        <v>989</v>
      </c>
      <c r="D491" s="92" t="s">
        <v>57</v>
      </c>
      <c r="E491" s="6" t="s">
        <v>33</v>
      </c>
      <c r="F491" s="27">
        <v>46051</v>
      </c>
      <c r="G491" s="27">
        <v>46051</v>
      </c>
      <c r="H491" s="29">
        <v>10</v>
      </c>
      <c r="I491" s="30">
        <v>15</v>
      </c>
      <c r="J491" s="21"/>
      <c r="K491" s="31">
        <v>46087</v>
      </c>
      <c r="L491" s="29"/>
      <c r="M491" s="29"/>
      <c r="N491" s="69">
        <v>46087</v>
      </c>
      <c r="O491" s="70"/>
      <c r="P491" s="70"/>
      <c r="Q491" s="71"/>
      <c r="R491" s="71" t="str">
        <f t="shared" ref="R491:R493" si="223">IF(Q491,Q491-K491,"")</f>
        <v/>
      </c>
      <c r="S491" s="71" t="str">
        <f t="shared" ref="S491:S493" si="224">IF(R491="","",IF(R491&lt;=4,"Excellent",IF(R491&lt;=8,"Good",IF(R491&lt;=15,"Average",IF(R491&lt;=30,"Poor",IF(R491&gt;=30,"Bad"))))))</f>
        <v/>
      </c>
      <c r="T491" s="68" t="str">
        <f t="shared" ref="T491:T493" ca="1" si="225">IF(U491="","",IF(U491&lt;=3,"Excellent",IF(U491&lt;=7,"Good",IF(U491&lt;=14,"Average",IF(U491&lt;=30,"Poor",IF(U491&gt;=30,"Bad"))))))</f>
        <v/>
      </c>
      <c r="U491" s="68" t="str">
        <f ca="1">IF(E491="Document", IF(#REF!="", "", TODAY() -#REF!), "")</f>
        <v/>
      </c>
      <c r="V491" s="68"/>
      <c r="W491" s="78" t="s">
        <v>277</v>
      </c>
      <c r="X491" s="78" t="s">
        <v>72</v>
      </c>
      <c r="Y491" s="75"/>
      <c r="Z491" s="75"/>
      <c r="AD491" s="21" t="s">
        <v>35</v>
      </c>
      <c r="AE491" s="19" t="s">
        <v>36</v>
      </c>
    </row>
    <row r="492" spans="1:31" ht="14.4" x14ac:dyDescent="0.3">
      <c r="A492" s="21">
        <v>5035</v>
      </c>
      <c r="B492" s="26" t="s">
        <v>499</v>
      </c>
      <c r="C492" s="8">
        <v>989</v>
      </c>
      <c r="D492" s="92" t="s">
        <v>32</v>
      </c>
      <c r="E492" s="6" t="s">
        <v>33</v>
      </c>
      <c r="F492" s="27">
        <v>46062</v>
      </c>
      <c r="G492" s="27">
        <v>46067</v>
      </c>
      <c r="H492" s="29">
        <v>239</v>
      </c>
      <c r="I492" s="30">
        <v>239</v>
      </c>
      <c r="J492" s="21"/>
      <c r="K492" s="31">
        <v>46073</v>
      </c>
      <c r="L492" s="29"/>
      <c r="M492" s="29"/>
      <c r="N492" s="69">
        <v>46073</v>
      </c>
      <c r="O492" s="70"/>
      <c r="P492" s="70"/>
      <c r="Q492" s="71"/>
      <c r="R492" s="71" t="str">
        <f t="shared" si="223"/>
        <v/>
      </c>
      <c r="S492" s="71" t="str">
        <f t="shared" si="224"/>
        <v/>
      </c>
      <c r="T492" s="68" t="str">
        <f t="shared" ca="1" si="225"/>
        <v/>
      </c>
      <c r="U492" s="68" t="str">
        <f ca="1">IF(E492="Document", IF(#REF!="", "", TODAY() -#REF!), "")</f>
        <v/>
      </c>
      <c r="V492" s="68"/>
      <c r="W492" s="78" t="s">
        <v>301</v>
      </c>
      <c r="X492" s="78" t="s">
        <v>153</v>
      </c>
      <c r="Y492" s="75"/>
      <c r="Z492" s="75"/>
      <c r="AD492" s="21" t="s">
        <v>35</v>
      </c>
      <c r="AE492" s="19" t="s">
        <v>36</v>
      </c>
    </row>
    <row r="493" spans="1:31" ht="14.4" x14ac:dyDescent="0.3">
      <c r="A493" s="21">
        <v>5076</v>
      </c>
      <c r="B493" s="26" t="s">
        <v>500</v>
      </c>
      <c r="C493" s="8">
        <v>989</v>
      </c>
      <c r="D493" s="92" t="s">
        <v>38</v>
      </c>
      <c r="E493" s="6" t="s">
        <v>33</v>
      </c>
      <c r="F493" s="27">
        <v>46077</v>
      </c>
      <c r="G493" s="27">
        <v>46081</v>
      </c>
      <c r="H493" s="29">
        <v>200</v>
      </c>
      <c r="I493" s="30">
        <v>200</v>
      </c>
      <c r="J493" s="21"/>
      <c r="K493" s="31">
        <v>46081</v>
      </c>
      <c r="L493" s="29"/>
      <c r="M493" s="29"/>
      <c r="N493" s="69">
        <v>46083</v>
      </c>
      <c r="O493" s="70"/>
      <c r="P493" s="70"/>
      <c r="Q493" s="71"/>
      <c r="R493" s="71" t="str">
        <f t="shared" si="223"/>
        <v/>
      </c>
      <c r="S493" s="71" t="str">
        <f t="shared" si="224"/>
        <v/>
      </c>
      <c r="T493" s="68" t="str">
        <f t="shared" ca="1" si="225"/>
        <v/>
      </c>
      <c r="U493" s="68" t="str">
        <f ca="1">IF(E493="Document", IF(#REF!="", "", TODAY() -#REF!), "")</f>
        <v/>
      </c>
      <c r="V493" s="68"/>
      <c r="W493" s="78" t="s">
        <v>501</v>
      </c>
      <c r="X493" s="78" t="s">
        <v>70</v>
      </c>
      <c r="Y493" s="75"/>
      <c r="Z493" s="75"/>
      <c r="AD493" s="21" t="s">
        <v>35</v>
      </c>
      <c r="AE493" s="19" t="s">
        <v>36</v>
      </c>
    </row>
    <row r="494" spans="1:31" ht="14.4" x14ac:dyDescent="0.3">
      <c r="A494" s="21">
        <v>4839</v>
      </c>
      <c r="B494" s="7" t="s">
        <v>37</v>
      </c>
      <c r="C494" s="8">
        <v>989</v>
      </c>
      <c r="D494" s="92" t="s">
        <v>38</v>
      </c>
      <c r="E494" s="21" t="s">
        <v>33</v>
      </c>
      <c r="F494" s="10">
        <v>45922</v>
      </c>
      <c r="G494" s="10">
        <v>45928</v>
      </c>
      <c r="H494" s="22">
        <v>339</v>
      </c>
      <c r="I494" s="23">
        <v>349</v>
      </c>
      <c r="J494" s="24"/>
      <c r="K494" s="14">
        <v>45928</v>
      </c>
      <c r="L494" s="22"/>
      <c r="M494" s="22"/>
      <c r="T494" s="82" t="str">
        <f ca="1">IF($U494="","",IF($U494&lt;=3,"Excellent",IF($U494&lt;=7,"Good",IF($U494&lt;=14,"Average",IF($U494&lt;=30,"Poor",IF($U494&gt;=30,"Bad"))))))</f>
        <v/>
      </c>
      <c r="U494" s="82" t="str">
        <f ca="1">IF(E494="Document", IF(G494="", "", TODAY() - G494), "")</f>
        <v/>
      </c>
      <c r="V494" s="82"/>
      <c r="W494" s="83" t="s">
        <v>426</v>
      </c>
      <c r="X494" s="83" t="s">
        <v>309</v>
      </c>
      <c r="Y494" s="28"/>
      <c r="Z494" s="28"/>
      <c r="AA494" s="28"/>
      <c r="AD494" s="21" t="s">
        <v>35</v>
      </c>
      <c r="AE494" s="19" t="s">
        <v>36</v>
      </c>
    </row>
    <row r="495" spans="1:31" ht="14.4" x14ac:dyDescent="0.3">
      <c r="A495" s="21">
        <v>5044</v>
      </c>
      <c r="B495" s="26" t="s">
        <v>502</v>
      </c>
      <c r="C495" s="8">
        <v>990</v>
      </c>
      <c r="D495" s="92" t="s">
        <v>57</v>
      </c>
      <c r="E495" s="6" t="s">
        <v>33</v>
      </c>
      <c r="F495" s="27">
        <v>46050</v>
      </c>
      <c r="G495" s="27">
        <v>46050</v>
      </c>
      <c r="H495" s="29">
        <v>10</v>
      </c>
      <c r="I495" s="30">
        <v>15</v>
      </c>
      <c r="J495" s="21"/>
      <c r="K495" s="31">
        <v>46050</v>
      </c>
      <c r="L495" s="29"/>
      <c r="M495" s="29"/>
      <c r="N495" s="69">
        <v>46050</v>
      </c>
      <c r="O495" s="70"/>
      <c r="P495" s="70"/>
      <c r="Q495" s="71"/>
      <c r="R495" s="71" t="str">
        <f t="shared" ref="R495:R496" si="226">IF(Q495,Q495-K495,"")</f>
        <v/>
      </c>
      <c r="S495" s="71" t="str">
        <f t="shared" ref="S495:S496" si="227">IF(R495="","",IF(R495&lt;=4,"Excellent",IF(R495&lt;=8,"Good",IF(R495&lt;=15,"Average",IF(R495&lt;=30,"Poor",IF(R495&gt;=30,"Bad"))))))</f>
        <v/>
      </c>
      <c r="T495" s="68" t="str">
        <f t="shared" ref="T495:T496" ca="1" si="228">IF(U495="","",IF(U495&lt;=3,"Excellent",IF(U495&lt;=7,"Good",IF(U495&lt;=14,"Average",IF(U495&lt;=30,"Poor",IF(U495&gt;=30,"Bad"))))))</f>
        <v/>
      </c>
      <c r="U495" s="68" t="str">
        <f ca="1">IF(E495="Document", IF(#REF!="", "", TODAY() -#REF!), "")</f>
        <v/>
      </c>
      <c r="V495" s="68"/>
      <c r="W495" s="78" t="s">
        <v>87</v>
      </c>
      <c r="X495" s="78" t="s">
        <v>93</v>
      </c>
      <c r="Y495" s="75"/>
      <c r="Z495" s="75"/>
      <c r="AD495" s="21" t="s">
        <v>35</v>
      </c>
      <c r="AE495" s="19" t="s">
        <v>36</v>
      </c>
    </row>
    <row r="496" spans="1:31" ht="14.4" x14ac:dyDescent="0.3">
      <c r="A496" s="21">
        <v>5055</v>
      </c>
      <c r="B496" s="26" t="s">
        <v>503</v>
      </c>
      <c r="C496" s="8">
        <v>991</v>
      </c>
      <c r="D496" s="92" t="s">
        <v>32</v>
      </c>
      <c r="E496" s="6" t="s">
        <v>33</v>
      </c>
      <c r="F496" s="27">
        <v>46057</v>
      </c>
      <c r="G496" s="27">
        <v>46059</v>
      </c>
      <c r="H496" s="29">
        <v>33</v>
      </c>
      <c r="I496" s="30">
        <v>98</v>
      </c>
      <c r="J496" s="21"/>
      <c r="K496" s="31">
        <v>46069</v>
      </c>
      <c r="L496" s="29"/>
      <c r="M496" s="29"/>
      <c r="N496" s="69">
        <v>46069</v>
      </c>
      <c r="O496" s="70"/>
      <c r="P496" s="70"/>
      <c r="Q496" s="71"/>
      <c r="R496" s="71" t="str">
        <f t="shared" si="226"/>
        <v/>
      </c>
      <c r="S496" s="71" t="str">
        <f t="shared" si="227"/>
        <v/>
      </c>
      <c r="T496" s="68" t="str">
        <f t="shared" ca="1" si="228"/>
        <v/>
      </c>
      <c r="U496" s="68" t="str">
        <f ca="1">IF(E496="Document", IF(#REF!="", "", TODAY() -#REF!), "")</f>
        <v/>
      </c>
      <c r="V496" s="68"/>
      <c r="W496" s="78" t="s">
        <v>208</v>
      </c>
      <c r="X496" s="78" t="s">
        <v>437</v>
      </c>
      <c r="Y496" s="75"/>
      <c r="Z496" s="75"/>
      <c r="AD496" s="21" t="s">
        <v>35</v>
      </c>
      <c r="AE496" s="19" t="s">
        <v>36</v>
      </c>
    </row>
    <row r="497" spans="1:31" ht="14.4" x14ac:dyDescent="0.3">
      <c r="A497" s="6">
        <v>4234</v>
      </c>
      <c r="B497" s="7" t="s">
        <v>504</v>
      </c>
      <c r="C497" s="8">
        <v>991</v>
      </c>
      <c r="D497" s="92" t="s">
        <v>202</v>
      </c>
      <c r="E497" s="6" t="s">
        <v>33</v>
      </c>
      <c r="F497" s="10">
        <v>45768</v>
      </c>
      <c r="G497" s="10">
        <v>45772</v>
      </c>
      <c r="H497" s="11">
        <v>76</v>
      </c>
      <c r="I497" s="12">
        <v>94</v>
      </c>
      <c r="J497" s="13"/>
      <c r="K497" s="14">
        <v>45775</v>
      </c>
      <c r="L497" s="11"/>
      <c r="M497" s="11"/>
      <c r="T497" s="78" t="str">
        <f t="shared" ref="T497:T503" ca="1" si="229">IF($U497="","",IF($U497&lt;=3,"Excellent",IF($U497&lt;=7,"Good",IF($U497&lt;=14,"Average",IF($U497&lt;=30,"Poor",IF($U497&gt;=30,"Bad"))))))</f>
        <v/>
      </c>
      <c r="U497" s="78" t="str">
        <f t="shared" ref="U497:U504" ca="1" si="230">IF(E497="Document", IF(G497="", "", TODAY() - G497), "")</f>
        <v/>
      </c>
      <c r="V497" s="78"/>
      <c r="W497" s="78"/>
      <c r="X497" s="74" t="s">
        <v>34</v>
      </c>
      <c r="Y497" s="18"/>
      <c r="Z497" s="18"/>
      <c r="AA497" s="18"/>
      <c r="AD497" s="6" t="s">
        <v>35</v>
      </c>
      <c r="AE497" s="19" t="s">
        <v>36</v>
      </c>
    </row>
    <row r="498" spans="1:31" ht="14.4" x14ac:dyDescent="0.3">
      <c r="A498" s="21">
        <v>4789</v>
      </c>
      <c r="B498" s="55" t="s">
        <v>505</v>
      </c>
      <c r="C498" s="8">
        <v>991</v>
      </c>
      <c r="D498" s="92" t="s">
        <v>38</v>
      </c>
      <c r="E498" s="21" t="s">
        <v>33</v>
      </c>
      <c r="F498" s="10">
        <v>45881</v>
      </c>
      <c r="G498" s="10">
        <v>45882</v>
      </c>
      <c r="H498" s="22">
        <v>94</v>
      </c>
      <c r="I498" s="23">
        <v>114</v>
      </c>
      <c r="J498" s="24"/>
      <c r="K498" s="14">
        <v>45883</v>
      </c>
      <c r="L498" s="22"/>
      <c r="M498" s="22"/>
      <c r="T498" s="82" t="str">
        <f t="shared" ca="1" si="229"/>
        <v/>
      </c>
      <c r="U498" s="82" t="str">
        <f t="shared" ca="1" si="230"/>
        <v/>
      </c>
      <c r="V498" s="82"/>
      <c r="W498" s="83" t="s">
        <v>100</v>
      </c>
      <c r="X498" s="83" t="s">
        <v>257</v>
      </c>
      <c r="Y498" s="28"/>
      <c r="Z498" s="28"/>
      <c r="AA498" s="28"/>
      <c r="AD498" s="21" t="s">
        <v>35</v>
      </c>
      <c r="AE498" s="19" t="s">
        <v>36</v>
      </c>
    </row>
    <row r="499" spans="1:31" ht="14.4" x14ac:dyDescent="0.3">
      <c r="A499" s="21">
        <v>4793</v>
      </c>
      <c r="B499" s="55" t="s">
        <v>506</v>
      </c>
      <c r="C499" s="8">
        <v>991</v>
      </c>
      <c r="D499" s="92" t="s">
        <v>38</v>
      </c>
      <c r="E499" s="21" t="s">
        <v>33</v>
      </c>
      <c r="F499" s="10">
        <v>45887</v>
      </c>
      <c r="G499" s="10">
        <v>45889</v>
      </c>
      <c r="H499" s="22">
        <v>20</v>
      </c>
      <c r="I499" s="23">
        <v>40</v>
      </c>
      <c r="J499" s="24"/>
      <c r="K499" s="14">
        <v>45889</v>
      </c>
      <c r="L499" s="22"/>
      <c r="M499" s="22"/>
      <c r="T499" s="82" t="str">
        <f t="shared" ca="1" si="229"/>
        <v/>
      </c>
      <c r="U499" s="82" t="str">
        <f t="shared" ca="1" si="230"/>
        <v/>
      </c>
      <c r="V499" s="82"/>
      <c r="W499" s="83" t="s">
        <v>507</v>
      </c>
      <c r="X499" s="83" t="s">
        <v>257</v>
      </c>
      <c r="Y499" s="28"/>
      <c r="Z499" s="28"/>
      <c r="AA499" s="28"/>
      <c r="AD499" s="21" t="s">
        <v>35</v>
      </c>
      <c r="AE499" s="19" t="s">
        <v>36</v>
      </c>
    </row>
    <row r="500" spans="1:31" ht="14.4" x14ac:dyDescent="0.3">
      <c r="A500" s="21">
        <v>4806</v>
      </c>
      <c r="B500" s="55" t="s">
        <v>508</v>
      </c>
      <c r="C500" s="8">
        <v>991</v>
      </c>
      <c r="D500" s="92" t="s">
        <v>38</v>
      </c>
      <c r="E500" s="21" t="s">
        <v>33</v>
      </c>
      <c r="F500" s="10">
        <v>45898</v>
      </c>
      <c r="G500" s="10">
        <v>45899</v>
      </c>
      <c r="H500" s="22">
        <v>115</v>
      </c>
      <c r="I500" s="23">
        <v>122</v>
      </c>
      <c r="J500" s="24"/>
      <c r="K500" s="14">
        <v>45901</v>
      </c>
      <c r="L500" s="22"/>
      <c r="M500" s="22"/>
      <c r="T500" s="82" t="str">
        <f t="shared" ca="1" si="229"/>
        <v/>
      </c>
      <c r="U500" s="82" t="str">
        <f t="shared" ca="1" si="230"/>
        <v/>
      </c>
      <c r="V500" s="75">
        <f>35</f>
        <v>35</v>
      </c>
      <c r="W500" s="83" t="s">
        <v>164</v>
      </c>
      <c r="X500" s="83" t="s">
        <v>102</v>
      </c>
      <c r="Y500" s="28"/>
      <c r="Z500" s="28"/>
      <c r="AA500" s="28"/>
      <c r="AD500" s="21" t="s">
        <v>35</v>
      </c>
      <c r="AE500" s="19" t="s">
        <v>36</v>
      </c>
    </row>
    <row r="501" spans="1:31" ht="14.4" x14ac:dyDescent="0.3">
      <c r="A501" s="21">
        <v>4853</v>
      </c>
      <c r="B501" s="37" t="s">
        <v>509</v>
      </c>
      <c r="C501" s="8">
        <v>991</v>
      </c>
      <c r="D501" s="92" t="s">
        <v>32</v>
      </c>
      <c r="E501" s="6" t="s">
        <v>33</v>
      </c>
      <c r="F501" s="66">
        <v>45933</v>
      </c>
      <c r="G501" s="66">
        <v>45933</v>
      </c>
      <c r="H501" s="22">
        <v>20</v>
      </c>
      <c r="I501" s="23">
        <v>25</v>
      </c>
      <c r="J501" s="24"/>
      <c r="K501" s="14">
        <v>45934</v>
      </c>
      <c r="L501" s="22"/>
      <c r="M501" s="22"/>
      <c r="T501" s="82" t="str">
        <f t="shared" ca="1" si="229"/>
        <v/>
      </c>
      <c r="U501" s="82" t="str">
        <f t="shared" ca="1" si="230"/>
        <v/>
      </c>
      <c r="V501" s="75">
        <f>15</f>
        <v>15</v>
      </c>
      <c r="W501" s="83" t="s">
        <v>199</v>
      </c>
      <c r="X501" s="83" t="s">
        <v>391</v>
      </c>
      <c r="Y501" s="28"/>
      <c r="Z501" s="28"/>
      <c r="AA501" s="28"/>
      <c r="AD501" s="21" t="s">
        <v>35</v>
      </c>
      <c r="AE501" s="19" t="s">
        <v>36</v>
      </c>
    </row>
    <row r="502" spans="1:31" ht="14.4" x14ac:dyDescent="0.3">
      <c r="A502" s="6">
        <v>4525</v>
      </c>
      <c r="B502" s="7" t="s">
        <v>490</v>
      </c>
      <c r="C502" s="8">
        <v>992</v>
      </c>
      <c r="D502" s="92" t="s">
        <v>57</v>
      </c>
      <c r="E502" s="6" t="s">
        <v>33</v>
      </c>
      <c r="F502" s="10">
        <v>45673</v>
      </c>
      <c r="G502" s="10">
        <v>45673</v>
      </c>
      <c r="H502" s="11">
        <v>45</v>
      </c>
      <c r="I502" s="12">
        <v>100</v>
      </c>
      <c r="J502" s="13"/>
      <c r="K502" s="36">
        <v>45673</v>
      </c>
      <c r="L502" s="11"/>
      <c r="M502" s="11"/>
      <c r="T502" s="78" t="str">
        <f t="shared" ca="1" si="229"/>
        <v/>
      </c>
      <c r="U502" s="78" t="str">
        <f t="shared" ca="1" si="230"/>
        <v/>
      </c>
      <c r="V502" s="78"/>
      <c r="W502" s="78"/>
      <c r="X502" s="74" t="s">
        <v>34</v>
      </c>
      <c r="Y502" s="18"/>
      <c r="Z502" s="18"/>
      <c r="AA502" s="18"/>
      <c r="AD502" s="6" t="s">
        <v>35</v>
      </c>
      <c r="AE502" s="19" t="s">
        <v>36</v>
      </c>
    </row>
    <row r="503" spans="1:31" ht="14.4" x14ac:dyDescent="0.3">
      <c r="A503" s="6">
        <v>4671</v>
      </c>
      <c r="B503" s="7" t="s">
        <v>84</v>
      </c>
      <c r="C503" s="8">
        <v>994</v>
      </c>
      <c r="D503" s="92" t="s">
        <v>38</v>
      </c>
      <c r="E503" s="6" t="s">
        <v>33</v>
      </c>
      <c r="F503" s="10">
        <v>45797</v>
      </c>
      <c r="G503" s="10">
        <v>45812</v>
      </c>
      <c r="H503" s="11">
        <v>238</v>
      </c>
      <c r="I503" s="12">
        <v>278</v>
      </c>
      <c r="J503" s="13"/>
      <c r="K503" s="14">
        <v>45813</v>
      </c>
      <c r="L503" s="11"/>
      <c r="M503" s="11"/>
      <c r="T503" s="78" t="str">
        <f t="shared" ca="1" si="229"/>
        <v/>
      </c>
      <c r="U503" s="78" t="str">
        <f t="shared" ca="1" si="230"/>
        <v/>
      </c>
      <c r="V503" s="78"/>
      <c r="W503" s="78"/>
      <c r="X503" s="74" t="s">
        <v>34</v>
      </c>
      <c r="Y503" s="18"/>
      <c r="Z503" s="18"/>
      <c r="AA503" s="18"/>
      <c r="AD503" s="6" t="s">
        <v>35</v>
      </c>
      <c r="AE503" s="19" t="s">
        <v>36</v>
      </c>
    </row>
    <row r="504" spans="1:31" ht="14.4" x14ac:dyDescent="0.3">
      <c r="A504" s="21">
        <v>5068</v>
      </c>
      <c r="B504" s="26" t="s">
        <v>510</v>
      </c>
      <c r="C504" s="8">
        <v>995</v>
      </c>
      <c r="D504" s="92" t="s">
        <v>76</v>
      </c>
      <c r="E504" s="59" t="s">
        <v>46</v>
      </c>
      <c r="F504" s="27">
        <v>46064</v>
      </c>
      <c r="G504" s="27">
        <v>46066</v>
      </c>
      <c r="H504" s="29"/>
      <c r="I504" s="30"/>
      <c r="J504" s="21"/>
      <c r="K504" s="31"/>
      <c r="L504" s="29"/>
      <c r="M504" s="29"/>
      <c r="N504" s="69"/>
      <c r="O504" s="70"/>
      <c r="P504" s="70"/>
      <c r="Q504" s="71"/>
      <c r="R504" s="71" t="str">
        <f>IF(Q504,Q504-K504,"")</f>
        <v/>
      </c>
      <c r="S504" s="71" t="str">
        <f>IF(R504="","",IF(R504&lt;=4,"Excellent",IF(R504&lt;=8,"Good",IF(R504&lt;=15,"Average",IF(R504&lt;=30,"Poor",IF(R504&gt;=30,"Bad"))))))</f>
        <v/>
      </c>
      <c r="T504" s="68" t="str">
        <f ca="1">IF(U504="","",IF(U504&lt;=3,"Excellent",IF(U504&lt;=7,"Good",IF(U504&lt;=14,"Average",IF(U504&lt;=30,"Poor",IF(U504&gt;=30,"Bad"))))))</f>
        <v>Bad</v>
      </c>
      <c r="U504" s="21">
        <f t="shared" ca="1" si="230"/>
        <v>69</v>
      </c>
      <c r="V504" s="68">
        <f>40</f>
        <v>40</v>
      </c>
      <c r="W504" s="78"/>
      <c r="X504" s="78"/>
      <c r="Y504" s="75"/>
      <c r="Z504" s="75"/>
      <c r="AD504" s="21" t="s">
        <v>35</v>
      </c>
      <c r="AE504" s="19" t="s">
        <v>36</v>
      </c>
    </row>
    <row r="505" spans="1:31" ht="14.4" x14ac:dyDescent="0.3">
      <c r="A505" s="6">
        <v>4550</v>
      </c>
      <c r="B505" s="7" t="s">
        <v>511</v>
      </c>
      <c r="C505" s="8">
        <v>995</v>
      </c>
      <c r="D505" s="92" t="s">
        <v>57</v>
      </c>
      <c r="E505" s="6" t="s">
        <v>33</v>
      </c>
      <c r="F505" s="10">
        <v>45692</v>
      </c>
      <c r="G505" s="10">
        <v>45692</v>
      </c>
      <c r="H505" s="16"/>
      <c r="I505" s="53"/>
      <c r="J505" s="54"/>
      <c r="K505" s="36">
        <v>45693</v>
      </c>
      <c r="L505" s="11"/>
      <c r="M505" s="11"/>
      <c r="T505" s="78" t="str">
        <f t="shared" ref="T505:T507" ca="1" si="231">IF($U505="","",IF($U505&lt;=3,"Excellent",IF($U505&lt;=7,"Good",IF($U505&lt;=14,"Average",IF($U505&lt;=30,"Poor",IF($U505&gt;=30,"Bad"))))))</f>
        <v/>
      </c>
      <c r="U505" s="78" t="str">
        <f t="shared" ref="U505:U507" ca="1" si="232">IF(E505="Document", IF(G505="", "", TODAY() - G505), "")</f>
        <v/>
      </c>
      <c r="V505" s="78"/>
      <c r="W505" s="78"/>
      <c r="X505" s="74" t="s">
        <v>34</v>
      </c>
      <c r="Y505" s="18"/>
      <c r="Z505" s="18"/>
      <c r="AA505" s="18"/>
      <c r="AD505" s="6" t="s">
        <v>35</v>
      </c>
      <c r="AE505" s="19" t="s">
        <v>36</v>
      </c>
    </row>
    <row r="506" spans="1:31" ht="14.4" x14ac:dyDescent="0.3">
      <c r="A506" s="6">
        <v>4706</v>
      </c>
      <c r="B506" s="20" t="s">
        <v>37</v>
      </c>
      <c r="C506" s="8">
        <v>995</v>
      </c>
      <c r="D506" s="92" t="s">
        <v>38</v>
      </c>
      <c r="E506" s="6" t="s">
        <v>33</v>
      </c>
      <c r="F506" s="10">
        <v>45831</v>
      </c>
      <c r="G506" s="10">
        <v>45834</v>
      </c>
      <c r="H506" s="11">
        <v>321</v>
      </c>
      <c r="I506" s="12">
        <v>326</v>
      </c>
      <c r="J506" s="13"/>
      <c r="K506" s="14">
        <v>45836</v>
      </c>
      <c r="L506" s="11"/>
      <c r="M506" s="11"/>
      <c r="T506" s="78" t="str">
        <f t="shared" ca="1" si="231"/>
        <v/>
      </c>
      <c r="U506" s="78" t="str">
        <f t="shared" ca="1" si="232"/>
        <v/>
      </c>
      <c r="V506" s="73">
        <f>24</f>
        <v>24</v>
      </c>
      <c r="W506" s="74" t="s">
        <v>512</v>
      </c>
      <c r="X506" s="74" t="s">
        <v>67</v>
      </c>
      <c r="Y506" s="18"/>
      <c r="Z506" s="18"/>
      <c r="AA506" s="18"/>
      <c r="AD506" s="6" t="s">
        <v>35</v>
      </c>
      <c r="AE506" s="19" t="s">
        <v>36</v>
      </c>
    </row>
    <row r="507" spans="1:31" ht="14.4" x14ac:dyDescent="0.3">
      <c r="A507" s="21">
        <v>4729</v>
      </c>
      <c r="B507" s="7" t="s">
        <v>513</v>
      </c>
      <c r="C507" s="8">
        <v>995</v>
      </c>
      <c r="D507" s="92" t="s">
        <v>38</v>
      </c>
      <c r="E507" s="6" t="s">
        <v>33</v>
      </c>
      <c r="F507" s="10">
        <v>45852</v>
      </c>
      <c r="G507" s="10">
        <v>45858</v>
      </c>
      <c r="H507" s="22">
        <v>182</v>
      </c>
      <c r="I507" s="23">
        <v>222</v>
      </c>
      <c r="J507" s="24"/>
      <c r="K507" s="14">
        <v>45865</v>
      </c>
      <c r="L507" s="22"/>
      <c r="M507" s="22"/>
      <c r="T507" s="82" t="str">
        <f t="shared" ca="1" si="231"/>
        <v/>
      </c>
      <c r="U507" s="82" t="str">
        <f t="shared" ca="1" si="232"/>
        <v/>
      </c>
      <c r="V507" s="75">
        <f>92</f>
        <v>92</v>
      </c>
      <c r="W507" s="83" t="s">
        <v>86</v>
      </c>
      <c r="X507" s="83" t="s">
        <v>514</v>
      </c>
      <c r="Y507" s="28"/>
      <c r="Z507" s="28"/>
      <c r="AA507" s="28"/>
      <c r="AD507" s="21" t="s">
        <v>35</v>
      </c>
      <c r="AE507" s="19" t="s">
        <v>36</v>
      </c>
    </row>
    <row r="508" spans="1:31" ht="14.4" x14ac:dyDescent="0.3">
      <c r="A508" s="8">
        <v>4985</v>
      </c>
      <c r="B508" s="43" t="s">
        <v>515</v>
      </c>
      <c r="C508" s="8">
        <v>996</v>
      </c>
      <c r="D508" s="95" t="s">
        <v>32</v>
      </c>
      <c r="E508" s="62" t="s">
        <v>33</v>
      </c>
      <c r="F508" s="45">
        <v>46028</v>
      </c>
      <c r="G508" s="45">
        <v>46035</v>
      </c>
      <c r="H508" s="46">
        <v>209</v>
      </c>
      <c r="I508" s="47">
        <v>209</v>
      </c>
      <c r="J508" s="8"/>
      <c r="K508" s="48">
        <v>46036</v>
      </c>
      <c r="L508" s="46"/>
      <c r="M508" s="46"/>
      <c r="N508" s="91">
        <v>46037</v>
      </c>
      <c r="O508" s="87"/>
      <c r="P508" s="87"/>
      <c r="Q508" s="88"/>
      <c r="R508" s="88" t="str">
        <f>IF(Q508,Q508-K508,"")</f>
        <v/>
      </c>
      <c r="S508" s="88" t="str">
        <f>IF(R508="","",IF(R508&lt;=4,"Excellent",IF(R508&lt;=8,"Good",IF(R508&lt;=15,"Average",IF(R508&lt;=30,"Poor",IF(R508&gt;=30,"Bad"))))))</f>
        <v/>
      </c>
      <c r="T508" s="72" t="str">
        <f ca="1">IF(U508="","",IF(U508&lt;=3,"Excellent",IF(U508&lt;=7,"Good",IF(U508&lt;=14,"Average",IF(U508&lt;=30,"Poor",IF(U508&gt;=30,"Bad"))))))</f>
        <v/>
      </c>
      <c r="U508" s="73" t="str">
        <f ca="1">IF(E508="Document", IF(#REF!="", "", TODAY() -#REF!), "")</f>
        <v/>
      </c>
      <c r="V508" s="73"/>
      <c r="W508" s="74" t="s">
        <v>516</v>
      </c>
      <c r="X508" s="74" t="s">
        <v>517</v>
      </c>
      <c r="Y508" s="89"/>
      <c r="Z508" s="89"/>
      <c r="AD508" s="8" t="s">
        <v>35</v>
      </c>
      <c r="AE508" s="19" t="s">
        <v>36</v>
      </c>
    </row>
    <row r="509" spans="1:31" ht="14.4" x14ac:dyDescent="0.3">
      <c r="A509" s="6">
        <v>4287</v>
      </c>
      <c r="B509" s="7" t="s">
        <v>47</v>
      </c>
      <c r="C509" s="8">
        <v>996</v>
      </c>
      <c r="D509" s="92" t="s">
        <v>32</v>
      </c>
      <c r="E509" s="6" t="s">
        <v>33</v>
      </c>
      <c r="F509" s="10">
        <v>45691</v>
      </c>
      <c r="G509" s="10">
        <v>45697</v>
      </c>
      <c r="H509" s="11">
        <v>190</v>
      </c>
      <c r="I509" s="12">
        <v>205</v>
      </c>
      <c r="J509" s="13"/>
      <c r="K509" s="36">
        <v>45697</v>
      </c>
      <c r="L509" s="11"/>
      <c r="M509" s="11"/>
      <c r="T509" s="78" t="str">
        <f t="shared" ref="T509:T520" ca="1" si="233">IF($U509="","",IF($U509&lt;=3,"Excellent",IF($U509&lt;=7,"Good",IF($U509&lt;=14,"Average",IF($U509&lt;=30,"Poor",IF($U509&gt;=30,"Bad"))))))</f>
        <v/>
      </c>
      <c r="U509" s="78" t="str">
        <f t="shared" ref="U509:U520" ca="1" si="234">IF(E509="Document", IF(G509="", "", TODAY() - G509), "")</f>
        <v/>
      </c>
      <c r="V509" s="78"/>
      <c r="W509" s="78"/>
      <c r="X509" s="74" t="s">
        <v>34</v>
      </c>
      <c r="Y509" s="18"/>
      <c r="Z509" s="18"/>
      <c r="AA509" s="18"/>
      <c r="AD509" s="6" t="s">
        <v>35</v>
      </c>
      <c r="AE509" s="19" t="s">
        <v>36</v>
      </c>
    </row>
    <row r="510" spans="1:31" ht="14.4" x14ac:dyDescent="0.3">
      <c r="A510" s="6">
        <v>2976</v>
      </c>
      <c r="B510" s="7" t="s">
        <v>518</v>
      </c>
      <c r="C510" s="8">
        <v>996</v>
      </c>
      <c r="D510" s="92" t="s">
        <v>57</v>
      </c>
      <c r="E510" s="6" t="s">
        <v>33</v>
      </c>
      <c r="F510" s="10">
        <v>45720</v>
      </c>
      <c r="G510" s="10">
        <v>45720</v>
      </c>
      <c r="H510" s="11">
        <v>10</v>
      </c>
      <c r="I510" s="12">
        <v>20</v>
      </c>
      <c r="J510" s="13"/>
      <c r="K510" s="36">
        <v>45722</v>
      </c>
      <c r="L510" s="11"/>
      <c r="M510" s="11"/>
      <c r="T510" s="78" t="str">
        <f t="shared" ca="1" si="233"/>
        <v/>
      </c>
      <c r="U510" s="78" t="str">
        <f t="shared" ca="1" si="234"/>
        <v/>
      </c>
      <c r="V510" s="78"/>
      <c r="W510" s="78"/>
      <c r="X510" s="74" t="s">
        <v>34</v>
      </c>
      <c r="Y510" s="18"/>
      <c r="Z510" s="18"/>
      <c r="AA510" s="18"/>
      <c r="AD510" s="6" t="s">
        <v>35</v>
      </c>
      <c r="AE510" s="19" t="s">
        <v>36</v>
      </c>
    </row>
    <row r="511" spans="1:31" ht="14.4" x14ac:dyDescent="0.3">
      <c r="A511" s="21">
        <v>4827</v>
      </c>
      <c r="B511" s="7" t="s">
        <v>37</v>
      </c>
      <c r="C511" s="8">
        <v>996</v>
      </c>
      <c r="D511" s="92" t="s">
        <v>38</v>
      </c>
      <c r="E511" s="21" t="s">
        <v>33</v>
      </c>
      <c r="F511" s="10">
        <v>45922</v>
      </c>
      <c r="G511" s="10">
        <v>45933</v>
      </c>
      <c r="H511" s="22">
        <v>209</v>
      </c>
      <c r="I511" s="23">
        <v>209</v>
      </c>
      <c r="J511" s="24"/>
      <c r="K511" s="14">
        <v>45944</v>
      </c>
      <c r="L511" s="22"/>
      <c r="M511" s="22"/>
      <c r="T511" s="82" t="str">
        <f t="shared" ca="1" si="233"/>
        <v/>
      </c>
      <c r="U511" s="82" t="str">
        <f t="shared" ca="1" si="234"/>
        <v/>
      </c>
      <c r="V511" s="75">
        <f>8</f>
        <v>8</v>
      </c>
      <c r="W511" s="83" t="s">
        <v>247</v>
      </c>
      <c r="X511" s="83" t="s">
        <v>519</v>
      </c>
      <c r="Y511" s="28"/>
      <c r="Z511" s="28"/>
      <c r="AA511" s="28"/>
      <c r="AD511" s="21" t="s">
        <v>35</v>
      </c>
      <c r="AE511" s="19" t="s">
        <v>36</v>
      </c>
    </row>
    <row r="512" spans="1:31" ht="14.4" x14ac:dyDescent="0.3">
      <c r="A512" s="21">
        <v>4972</v>
      </c>
      <c r="B512" s="37" t="s">
        <v>520</v>
      </c>
      <c r="C512" s="8">
        <v>996</v>
      </c>
      <c r="D512" s="92" t="s">
        <v>32</v>
      </c>
      <c r="E512" s="6" t="s">
        <v>33</v>
      </c>
      <c r="F512" s="38">
        <v>46013</v>
      </c>
      <c r="G512" s="38">
        <v>46015</v>
      </c>
      <c r="H512" s="22">
        <v>209</v>
      </c>
      <c r="I512" s="23">
        <v>209</v>
      </c>
      <c r="J512" s="24"/>
      <c r="K512" s="14">
        <v>46036</v>
      </c>
      <c r="L512" s="22"/>
      <c r="M512" s="22"/>
      <c r="T512" s="82" t="str">
        <f t="shared" ca="1" si="233"/>
        <v/>
      </c>
      <c r="U512" s="82" t="str">
        <f t="shared" ca="1" si="234"/>
        <v/>
      </c>
      <c r="V512" s="82"/>
      <c r="W512" s="83" t="s">
        <v>516</v>
      </c>
      <c r="X512" s="83" t="s">
        <v>521</v>
      </c>
      <c r="Y512" s="28"/>
      <c r="Z512" s="28"/>
      <c r="AA512" s="28"/>
      <c r="AD512" s="21" t="s">
        <v>35</v>
      </c>
      <c r="AE512" s="19" t="s">
        <v>36</v>
      </c>
    </row>
    <row r="513" spans="1:31" ht="14.4" x14ac:dyDescent="0.3">
      <c r="A513" s="6">
        <v>4606</v>
      </c>
      <c r="B513" s="7" t="s">
        <v>522</v>
      </c>
      <c r="C513" s="8">
        <v>999</v>
      </c>
      <c r="D513" s="92" t="s">
        <v>76</v>
      </c>
      <c r="E513" s="6" t="s">
        <v>33</v>
      </c>
      <c r="F513" s="10">
        <v>45726</v>
      </c>
      <c r="G513" s="10">
        <v>45729</v>
      </c>
      <c r="H513" s="11">
        <v>50</v>
      </c>
      <c r="I513" s="12">
        <v>50</v>
      </c>
      <c r="J513" s="13"/>
      <c r="K513" s="36">
        <v>45729</v>
      </c>
      <c r="L513" s="11"/>
      <c r="M513" s="11"/>
      <c r="T513" s="78" t="str">
        <f t="shared" ca="1" si="233"/>
        <v/>
      </c>
      <c r="U513" s="78" t="str">
        <f t="shared" ca="1" si="234"/>
        <v/>
      </c>
      <c r="V513" s="78"/>
      <c r="W513" s="78"/>
      <c r="X513" s="74" t="s">
        <v>34</v>
      </c>
      <c r="Y513" s="18"/>
      <c r="Z513" s="18"/>
      <c r="AA513" s="18"/>
      <c r="AD513" s="6" t="s">
        <v>35</v>
      </c>
      <c r="AE513" s="19" t="s">
        <v>36</v>
      </c>
    </row>
    <row r="514" spans="1:31" ht="14.4" x14ac:dyDescent="0.3">
      <c r="A514" s="21">
        <v>4829</v>
      </c>
      <c r="B514" s="55" t="s">
        <v>37</v>
      </c>
      <c r="C514" s="8">
        <v>999</v>
      </c>
      <c r="D514" s="92" t="s">
        <v>38</v>
      </c>
      <c r="E514" s="21" t="s">
        <v>33</v>
      </c>
      <c r="F514" s="10">
        <v>45915</v>
      </c>
      <c r="G514" s="10">
        <v>45921</v>
      </c>
      <c r="H514" s="22">
        <v>194</v>
      </c>
      <c r="I514" s="23">
        <v>194</v>
      </c>
      <c r="J514" s="24"/>
      <c r="K514" s="14">
        <v>45922</v>
      </c>
      <c r="L514" s="22"/>
      <c r="M514" s="22"/>
      <c r="T514" s="82" t="str">
        <f t="shared" ca="1" si="233"/>
        <v/>
      </c>
      <c r="U514" s="82" t="str">
        <f t="shared" ca="1" si="234"/>
        <v/>
      </c>
      <c r="V514" s="82"/>
      <c r="W514" s="83" t="s">
        <v>523</v>
      </c>
      <c r="X514" s="83" t="s">
        <v>424</v>
      </c>
      <c r="Y514" s="28"/>
      <c r="Z514" s="28"/>
      <c r="AA514" s="28"/>
      <c r="AD514" s="21" t="s">
        <v>35</v>
      </c>
      <c r="AE514" s="19" t="s">
        <v>36</v>
      </c>
    </row>
    <row r="515" spans="1:31" ht="14.4" x14ac:dyDescent="0.3">
      <c r="A515" s="21">
        <v>4865</v>
      </c>
      <c r="B515" s="37" t="s">
        <v>37</v>
      </c>
      <c r="C515" s="8">
        <v>1001</v>
      </c>
      <c r="D515" s="92" t="s">
        <v>38</v>
      </c>
      <c r="E515" s="21" t="s">
        <v>33</v>
      </c>
      <c r="F515" s="66">
        <v>45943</v>
      </c>
      <c r="G515" s="66">
        <v>45947</v>
      </c>
      <c r="H515" s="22">
        <v>334</v>
      </c>
      <c r="I515" s="23">
        <v>349</v>
      </c>
      <c r="J515" s="24"/>
      <c r="K515" s="14">
        <v>45950</v>
      </c>
      <c r="L515" s="22"/>
      <c r="M515" s="22"/>
      <c r="T515" s="82" t="str">
        <f t="shared" ca="1" si="233"/>
        <v/>
      </c>
      <c r="U515" s="82" t="str">
        <f t="shared" ca="1" si="234"/>
        <v/>
      </c>
      <c r="V515" s="75">
        <f>1</f>
        <v>1</v>
      </c>
      <c r="W515" s="83" t="s">
        <v>311</v>
      </c>
      <c r="X515" s="83" t="s">
        <v>278</v>
      </c>
      <c r="Y515" s="28"/>
      <c r="Z515" s="28"/>
      <c r="AA515" s="28"/>
      <c r="AD515" s="21" t="s">
        <v>35</v>
      </c>
      <c r="AE515" s="19" t="s">
        <v>36</v>
      </c>
    </row>
    <row r="516" spans="1:31" ht="14.4" x14ac:dyDescent="0.3">
      <c r="A516" s="21">
        <v>4635</v>
      </c>
      <c r="B516" s="7" t="s">
        <v>524</v>
      </c>
      <c r="C516" s="8">
        <v>1005</v>
      </c>
      <c r="D516" s="92" t="s">
        <v>32</v>
      </c>
      <c r="E516" s="21" t="s">
        <v>33</v>
      </c>
      <c r="F516" s="10">
        <v>45856</v>
      </c>
      <c r="G516" s="10">
        <v>45859</v>
      </c>
      <c r="H516" s="22">
        <v>24</v>
      </c>
      <c r="I516" s="23">
        <v>24</v>
      </c>
      <c r="J516" s="24"/>
      <c r="K516" s="14">
        <v>45866</v>
      </c>
      <c r="L516" s="22"/>
      <c r="M516" s="22"/>
      <c r="T516" s="82" t="str">
        <f t="shared" ca="1" si="233"/>
        <v/>
      </c>
      <c r="U516" s="82" t="str">
        <f t="shared" ca="1" si="234"/>
        <v/>
      </c>
      <c r="V516" s="75">
        <f>10</f>
        <v>10</v>
      </c>
      <c r="W516" s="83" t="s">
        <v>160</v>
      </c>
      <c r="X516" s="83" t="s">
        <v>264</v>
      </c>
      <c r="Y516" s="28"/>
      <c r="Z516" s="28"/>
      <c r="AA516" s="28"/>
      <c r="AD516" s="21" t="s">
        <v>35</v>
      </c>
      <c r="AE516" s="19" t="s">
        <v>36</v>
      </c>
    </row>
    <row r="517" spans="1:31" ht="14.4" x14ac:dyDescent="0.3">
      <c r="A517" s="21">
        <v>4780</v>
      </c>
      <c r="B517" s="55" t="s">
        <v>37</v>
      </c>
      <c r="C517" s="8">
        <v>1005</v>
      </c>
      <c r="D517" s="92" t="s">
        <v>38</v>
      </c>
      <c r="E517" s="21" t="s">
        <v>46</v>
      </c>
      <c r="F517" s="10">
        <v>45880</v>
      </c>
      <c r="G517" s="10">
        <v>45885</v>
      </c>
      <c r="H517" s="25"/>
      <c r="I517" s="39"/>
      <c r="J517" s="40"/>
      <c r="K517" s="41"/>
      <c r="L517" s="22"/>
      <c r="M517" s="22"/>
      <c r="T517" s="81" t="str">
        <f t="shared" ca="1" si="233"/>
        <v>Bad</v>
      </c>
      <c r="U517" s="75">
        <f t="shared" ca="1" si="234"/>
        <v>250</v>
      </c>
      <c r="V517" s="75">
        <f>64</f>
        <v>64</v>
      </c>
      <c r="W517" s="82"/>
      <c r="X517" s="82"/>
      <c r="Y517" s="28"/>
      <c r="Z517" s="28"/>
      <c r="AA517" s="28"/>
      <c r="AD517" s="21" t="s">
        <v>35</v>
      </c>
      <c r="AE517" s="19" t="s">
        <v>36</v>
      </c>
    </row>
    <row r="518" spans="1:31" ht="14.4" x14ac:dyDescent="0.3">
      <c r="A518" s="21">
        <v>4697</v>
      </c>
      <c r="B518" s="7" t="s">
        <v>73</v>
      </c>
      <c r="C518" s="8">
        <v>1006</v>
      </c>
      <c r="D518" s="92" t="s">
        <v>32</v>
      </c>
      <c r="E518" s="21" t="s">
        <v>46</v>
      </c>
      <c r="F518" s="10">
        <v>45852</v>
      </c>
      <c r="G518" s="10">
        <v>45863</v>
      </c>
      <c r="H518" s="25"/>
      <c r="I518" s="39"/>
      <c r="J518" s="40"/>
      <c r="K518" s="41"/>
      <c r="L518" s="22"/>
      <c r="M518" s="22"/>
      <c r="T518" s="81" t="str">
        <f t="shared" ca="1" si="233"/>
        <v>Bad</v>
      </c>
      <c r="U518" s="75">
        <f t="shared" ca="1" si="234"/>
        <v>272</v>
      </c>
      <c r="V518" s="75">
        <f>85</f>
        <v>85</v>
      </c>
      <c r="W518" s="82"/>
      <c r="X518" s="82"/>
      <c r="Y518" s="28"/>
      <c r="Z518" s="28"/>
      <c r="AA518" s="28"/>
      <c r="AD518" s="21" t="s">
        <v>35</v>
      </c>
      <c r="AE518" s="19" t="s">
        <v>36</v>
      </c>
    </row>
    <row r="519" spans="1:31" ht="14.4" x14ac:dyDescent="0.3">
      <c r="A519" s="6">
        <v>4393</v>
      </c>
      <c r="B519" s="7" t="s">
        <v>504</v>
      </c>
      <c r="C519" s="8">
        <v>1007</v>
      </c>
      <c r="D519" s="92" t="s">
        <v>202</v>
      </c>
      <c r="E519" s="6" t="s">
        <v>33</v>
      </c>
      <c r="F519" s="10">
        <v>45721</v>
      </c>
      <c r="G519" s="98">
        <v>45793</v>
      </c>
      <c r="H519" s="11">
        <v>1120</v>
      </c>
      <c r="I519" s="12">
        <v>1222</v>
      </c>
      <c r="J519" s="13"/>
      <c r="K519" s="14">
        <v>45796</v>
      </c>
      <c r="L519" s="11"/>
      <c r="M519" s="11"/>
      <c r="T519" s="78" t="str">
        <f t="shared" ca="1" si="233"/>
        <v/>
      </c>
      <c r="U519" s="78" t="str">
        <f t="shared" ca="1" si="234"/>
        <v/>
      </c>
      <c r="V519" s="78"/>
      <c r="W519" s="78"/>
      <c r="X519" s="74" t="s">
        <v>34</v>
      </c>
      <c r="Y519" s="18"/>
      <c r="Z519" s="18"/>
      <c r="AA519" s="18"/>
      <c r="AD519" s="6" t="s">
        <v>35</v>
      </c>
      <c r="AE519" s="19" t="s">
        <v>36</v>
      </c>
    </row>
    <row r="520" spans="1:31" ht="14.4" x14ac:dyDescent="0.3">
      <c r="A520" s="6">
        <v>4393</v>
      </c>
      <c r="B520" s="7" t="s">
        <v>504</v>
      </c>
      <c r="C520" s="8">
        <v>1007</v>
      </c>
      <c r="D520" s="92" t="s">
        <v>202</v>
      </c>
      <c r="E520" s="6" t="s">
        <v>33</v>
      </c>
      <c r="F520" s="10">
        <v>45721</v>
      </c>
      <c r="G520" s="98">
        <v>45793</v>
      </c>
      <c r="H520" s="11">
        <v>1120</v>
      </c>
      <c r="I520" s="12">
        <v>1222</v>
      </c>
      <c r="J520" s="13"/>
      <c r="K520" s="14">
        <v>45796</v>
      </c>
      <c r="L520" s="11"/>
      <c r="M520" s="11"/>
      <c r="T520" s="78" t="str">
        <f t="shared" ca="1" si="233"/>
        <v/>
      </c>
      <c r="U520" s="78" t="str">
        <f t="shared" ca="1" si="234"/>
        <v/>
      </c>
      <c r="V520" s="78"/>
      <c r="W520" s="78"/>
      <c r="X520" s="74" t="s">
        <v>34</v>
      </c>
      <c r="Y520" s="18"/>
      <c r="Z520" s="18"/>
      <c r="AA520" s="18"/>
      <c r="AD520" s="6" t="s">
        <v>35</v>
      </c>
      <c r="AE520" s="19" t="s">
        <v>36</v>
      </c>
    </row>
    <row r="521" spans="1:31" ht="14.4" x14ac:dyDescent="0.3">
      <c r="A521" s="21">
        <v>5025</v>
      </c>
      <c r="B521" s="26" t="s">
        <v>525</v>
      </c>
      <c r="C521" s="8">
        <v>1008</v>
      </c>
      <c r="D521" s="92" t="s">
        <v>57</v>
      </c>
      <c r="E521" s="21" t="s">
        <v>33</v>
      </c>
      <c r="F521" s="27">
        <v>46043</v>
      </c>
      <c r="G521" s="27">
        <v>46043</v>
      </c>
      <c r="H521" s="29">
        <v>15</v>
      </c>
      <c r="I521" s="30">
        <v>20</v>
      </c>
      <c r="J521" s="21"/>
      <c r="K521" s="31">
        <v>46043</v>
      </c>
      <c r="L521" s="29"/>
      <c r="M521" s="29"/>
      <c r="N521" s="69">
        <v>46043</v>
      </c>
      <c r="O521" s="70"/>
      <c r="P521" s="70"/>
      <c r="Q521" s="71"/>
      <c r="R521" s="71" t="str">
        <f t="shared" ref="R521:R522" si="235">IF(Q521,Q521-K521,"")</f>
        <v/>
      </c>
      <c r="S521" s="71" t="str">
        <f t="shared" ref="S521:S522" si="236">IF(R521="","",IF(R521&lt;=4,"Excellent",IF(R521&lt;=8,"Good",IF(R521&lt;=15,"Average",IF(R521&lt;=30,"Poor",IF(R521&gt;=30,"Bad"))))))</f>
        <v/>
      </c>
      <c r="T521" s="68" t="str">
        <f t="shared" ref="T521:T522" ca="1" si="237">IF(U521="","",IF(U521&lt;=3,"Excellent",IF(U521&lt;=7,"Good",IF(U521&lt;=14,"Average",IF(U521&lt;=30,"Poor",IF(U521&gt;=30,"Bad"))))))</f>
        <v/>
      </c>
      <c r="U521" s="68" t="str">
        <f ca="1">IF(E521="Document", IF(#REF!="", "", TODAY() -#REF!), "")</f>
        <v/>
      </c>
      <c r="V521" s="68"/>
      <c r="W521" s="78" t="s">
        <v>526</v>
      </c>
      <c r="X521" s="78" t="s">
        <v>92</v>
      </c>
      <c r="Y521" s="75"/>
      <c r="Z521" s="75"/>
      <c r="AD521" s="21" t="s">
        <v>35</v>
      </c>
      <c r="AE521" s="19" t="s">
        <v>36</v>
      </c>
    </row>
    <row r="522" spans="1:31" ht="14.4" x14ac:dyDescent="0.3">
      <c r="A522" s="21">
        <v>5060</v>
      </c>
      <c r="B522" s="26" t="s">
        <v>527</v>
      </c>
      <c r="C522" s="8">
        <v>1008</v>
      </c>
      <c r="D522" s="92" t="s">
        <v>76</v>
      </c>
      <c r="E522" s="21" t="s">
        <v>33</v>
      </c>
      <c r="F522" s="27">
        <v>46090</v>
      </c>
      <c r="G522" s="27">
        <v>46090</v>
      </c>
      <c r="H522" s="29">
        <v>13</v>
      </c>
      <c r="I522" s="30">
        <v>13</v>
      </c>
      <c r="J522" s="21"/>
      <c r="K522" s="31">
        <v>46111</v>
      </c>
      <c r="L522" s="29"/>
      <c r="M522" s="29"/>
      <c r="N522" s="69">
        <v>46111</v>
      </c>
      <c r="O522" s="70"/>
      <c r="P522" s="70"/>
      <c r="Q522" s="71"/>
      <c r="R522" s="71" t="str">
        <f t="shared" si="235"/>
        <v/>
      </c>
      <c r="S522" s="71" t="str">
        <f t="shared" si="236"/>
        <v/>
      </c>
      <c r="T522" s="68" t="str">
        <f t="shared" ca="1" si="237"/>
        <v/>
      </c>
      <c r="U522" s="68" t="str">
        <f ca="1">IF(E522="Document", IF(#REF!="", "", TODAY() -#REF!), "")</f>
        <v/>
      </c>
      <c r="V522" s="68">
        <f>20</f>
        <v>20</v>
      </c>
      <c r="W522" s="78" t="s">
        <v>128</v>
      </c>
      <c r="X522" s="78" t="s">
        <v>294</v>
      </c>
      <c r="Y522" s="75"/>
      <c r="Z522" s="75"/>
      <c r="AD522" s="21" t="s">
        <v>35</v>
      </c>
      <c r="AE522" s="19" t="s">
        <v>36</v>
      </c>
    </row>
    <row r="523" spans="1:31" ht="14.4" x14ac:dyDescent="0.3">
      <c r="A523" s="6">
        <v>4522</v>
      </c>
      <c r="B523" s="7" t="s">
        <v>528</v>
      </c>
      <c r="C523" s="8">
        <v>1008</v>
      </c>
      <c r="D523" s="92" t="s">
        <v>76</v>
      </c>
      <c r="E523" s="6" t="s">
        <v>46</v>
      </c>
      <c r="F523" s="10">
        <v>45670</v>
      </c>
      <c r="G523" s="10">
        <v>45672</v>
      </c>
      <c r="H523" s="16"/>
      <c r="I523" s="53"/>
      <c r="J523" s="54"/>
      <c r="K523" s="41"/>
      <c r="L523" s="11"/>
      <c r="M523" s="11"/>
      <c r="T523" s="77" t="str">
        <f t="shared" ref="T523:T533" ca="1" si="238">IF($U523="","",IF($U523&lt;=3,"Excellent",IF($U523&lt;=7,"Good",IF($U523&lt;=14,"Average",IF($U523&lt;=30,"Poor",IF($U523&gt;=30,"Bad"))))))</f>
        <v>Bad</v>
      </c>
      <c r="U523" s="73">
        <f t="shared" ref="U523:U533" ca="1" si="239">IF(E523="Document", IF(G523="", "", TODAY() - G523), "")</f>
        <v>463</v>
      </c>
      <c r="V523" s="73">
        <f>109</f>
        <v>109</v>
      </c>
      <c r="W523" s="78"/>
      <c r="X523" s="78"/>
      <c r="Y523" s="18"/>
      <c r="Z523" s="18"/>
      <c r="AA523" s="18"/>
      <c r="AD523" s="6" t="s">
        <v>35</v>
      </c>
      <c r="AE523" s="19" t="s">
        <v>36</v>
      </c>
    </row>
    <row r="524" spans="1:31" ht="14.4" x14ac:dyDescent="0.3">
      <c r="A524" s="6">
        <v>4614</v>
      </c>
      <c r="B524" s="7" t="s">
        <v>529</v>
      </c>
      <c r="C524" s="8">
        <v>1008</v>
      </c>
      <c r="D524" s="92" t="s">
        <v>32</v>
      </c>
      <c r="E524" s="6" t="s">
        <v>33</v>
      </c>
      <c r="F524" s="10">
        <v>45781</v>
      </c>
      <c r="G524" s="10">
        <v>45796</v>
      </c>
      <c r="H524" s="11">
        <v>267</v>
      </c>
      <c r="I524" s="12">
        <v>282</v>
      </c>
      <c r="J524" s="13"/>
      <c r="K524" s="14">
        <v>45796</v>
      </c>
      <c r="L524" s="11"/>
      <c r="M524" s="11"/>
      <c r="T524" s="78" t="str">
        <f t="shared" ca="1" si="238"/>
        <v/>
      </c>
      <c r="U524" s="78" t="str">
        <f t="shared" ca="1" si="239"/>
        <v/>
      </c>
      <c r="V524" s="78"/>
      <c r="W524" s="78"/>
      <c r="X524" s="74" t="s">
        <v>34</v>
      </c>
      <c r="Y524" s="18"/>
      <c r="Z524" s="18"/>
      <c r="AA524" s="18"/>
      <c r="AD524" s="6" t="s">
        <v>35</v>
      </c>
      <c r="AE524" s="19" t="s">
        <v>36</v>
      </c>
    </row>
    <row r="525" spans="1:31" ht="14.4" x14ac:dyDescent="0.3">
      <c r="A525" s="21">
        <v>4718</v>
      </c>
      <c r="B525" s="20" t="s">
        <v>258</v>
      </c>
      <c r="C525" s="8">
        <v>1008</v>
      </c>
      <c r="D525" s="92" t="s">
        <v>57</v>
      </c>
      <c r="E525" s="21" t="s">
        <v>33</v>
      </c>
      <c r="F525" s="10">
        <v>45842</v>
      </c>
      <c r="G525" s="10">
        <v>45842</v>
      </c>
      <c r="H525" s="22">
        <v>20</v>
      </c>
      <c r="I525" s="23">
        <v>20</v>
      </c>
      <c r="J525" s="24"/>
      <c r="K525" s="14">
        <v>45846</v>
      </c>
      <c r="L525" s="22"/>
      <c r="M525" s="22"/>
      <c r="T525" s="82" t="str">
        <f t="shared" ca="1" si="238"/>
        <v/>
      </c>
      <c r="U525" s="82" t="str">
        <f t="shared" ca="1" si="239"/>
        <v/>
      </c>
      <c r="V525" s="75">
        <f t="shared" ref="V525:V526" si="240">4</f>
        <v>4</v>
      </c>
      <c r="W525" s="82"/>
      <c r="X525" s="83" t="s">
        <v>530</v>
      </c>
      <c r="Y525" s="28"/>
      <c r="Z525" s="28"/>
      <c r="AA525" s="28"/>
      <c r="AD525" s="21" t="s">
        <v>35</v>
      </c>
      <c r="AE525" s="19" t="s">
        <v>36</v>
      </c>
    </row>
    <row r="526" spans="1:31" ht="14.4" x14ac:dyDescent="0.3">
      <c r="A526" s="21">
        <v>4733</v>
      </c>
      <c r="B526" s="7" t="s">
        <v>258</v>
      </c>
      <c r="C526" s="8">
        <v>1008</v>
      </c>
      <c r="D526" s="92" t="s">
        <v>57</v>
      </c>
      <c r="E526" s="21" t="s">
        <v>33</v>
      </c>
      <c r="F526" s="10">
        <v>45849</v>
      </c>
      <c r="G526" s="10">
        <v>45849</v>
      </c>
      <c r="H526" s="22">
        <v>20</v>
      </c>
      <c r="I526" s="23">
        <v>20</v>
      </c>
      <c r="J526" s="24"/>
      <c r="K526" s="14">
        <v>45852</v>
      </c>
      <c r="L526" s="22"/>
      <c r="M526" s="22"/>
      <c r="T526" s="82" t="str">
        <f t="shared" ca="1" si="238"/>
        <v/>
      </c>
      <c r="U526" s="82" t="str">
        <f t="shared" ca="1" si="239"/>
        <v/>
      </c>
      <c r="V526" s="75">
        <f t="shared" si="240"/>
        <v>4</v>
      </c>
      <c r="W526" s="83" t="s">
        <v>121</v>
      </c>
      <c r="X526" s="83" t="s">
        <v>159</v>
      </c>
      <c r="Y526" s="28"/>
      <c r="Z526" s="28"/>
      <c r="AA526" s="28"/>
      <c r="AD526" s="21" t="s">
        <v>35</v>
      </c>
      <c r="AE526" s="19" t="s">
        <v>36</v>
      </c>
    </row>
    <row r="527" spans="1:31" ht="14.4" x14ac:dyDescent="0.3">
      <c r="A527" s="21">
        <v>4771</v>
      </c>
      <c r="B527" s="7" t="s">
        <v>335</v>
      </c>
      <c r="C527" s="8">
        <v>1008</v>
      </c>
      <c r="D527" s="92" t="s">
        <v>57</v>
      </c>
      <c r="E527" s="21" t="s">
        <v>33</v>
      </c>
      <c r="F527" s="10">
        <v>45863</v>
      </c>
      <c r="G527" s="10">
        <v>45863</v>
      </c>
      <c r="H527" s="22">
        <v>20</v>
      </c>
      <c r="I527" s="23">
        <v>20</v>
      </c>
      <c r="J527" s="24"/>
      <c r="K527" s="14">
        <v>45867</v>
      </c>
      <c r="L527" s="22"/>
      <c r="M527" s="22"/>
      <c r="T527" s="82" t="str">
        <f t="shared" ca="1" si="238"/>
        <v/>
      </c>
      <c r="U527" s="82" t="str">
        <f t="shared" ca="1" si="239"/>
        <v/>
      </c>
      <c r="V527" s="82"/>
      <c r="W527" s="83" t="s">
        <v>531</v>
      </c>
      <c r="X527" s="83" t="s">
        <v>174</v>
      </c>
      <c r="Y527" s="28"/>
      <c r="Z527" s="28"/>
      <c r="AA527" s="28"/>
      <c r="AD527" s="21" t="s">
        <v>35</v>
      </c>
      <c r="AE527" s="19" t="s">
        <v>36</v>
      </c>
    </row>
    <row r="528" spans="1:31" ht="14.4" x14ac:dyDescent="0.3">
      <c r="A528" s="21">
        <v>4893</v>
      </c>
      <c r="B528" s="37" t="s">
        <v>130</v>
      </c>
      <c r="C528" s="8">
        <v>1008</v>
      </c>
      <c r="D528" s="92" t="s">
        <v>32</v>
      </c>
      <c r="E528" s="21" t="s">
        <v>33</v>
      </c>
      <c r="F528" s="42">
        <v>45972</v>
      </c>
      <c r="G528" s="42">
        <v>45981</v>
      </c>
      <c r="H528" s="22">
        <v>257</v>
      </c>
      <c r="I528" s="23">
        <v>257</v>
      </c>
      <c r="J528" s="24"/>
      <c r="K528" s="14">
        <v>45982</v>
      </c>
      <c r="L528" s="22"/>
      <c r="M528" s="22"/>
      <c r="T528" s="82" t="str">
        <f t="shared" ca="1" si="238"/>
        <v/>
      </c>
      <c r="U528" s="82" t="str">
        <f t="shared" ca="1" si="239"/>
        <v/>
      </c>
      <c r="V528" s="82"/>
      <c r="W528" s="83" t="s">
        <v>63</v>
      </c>
      <c r="X528" s="83" t="s">
        <v>532</v>
      </c>
      <c r="Y528" s="28"/>
      <c r="Z528" s="28"/>
      <c r="AA528" s="28"/>
      <c r="AD528" s="21" t="s">
        <v>35</v>
      </c>
      <c r="AE528" s="19" t="s">
        <v>36</v>
      </c>
    </row>
    <row r="529" spans="1:31" ht="14.4" x14ac:dyDescent="0.3">
      <c r="A529" s="6">
        <v>4388</v>
      </c>
      <c r="B529" s="7" t="s">
        <v>533</v>
      </c>
      <c r="C529" s="8">
        <v>1009</v>
      </c>
      <c r="D529" s="92" t="s">
        <v>202</v>
      </c>
      <c r="E529" s="6" t="s">
        <v>33</v>
      </c>
      <c r="F529" s="10">
        <v>45698</v>
      </c>
      <c r="G529" s="10">
        <v>45737</v>
      </c>
      <c r="H529" s="11">
        <v>932</v>
      </c>
      <c r="I529" s="12">
        <v>962</v>
      </c>
      <c r="J529" s="13"/>
      <c r="K529" s="36">
        <v>45741</v>
      </c>
      <c r="L529" s="11"/>
      <c r="M529" s="11"/>
      <c r="T529" s="78" t="str">
        <f t="shared" ca="1" si="238"/>
        <v/>
      </c>
      <c r="U529" s="78" t="str">
        <f t="shared" ca="1" si="239"/>
        <v/>
      </c>
      <c r="V529" s="78"/>
      <c r="W529" s="78"/>
      <c r="X529" s="74" t="s">
        <v>34</v>
      </c>
      <c r="Y529" s="18"/>
      <c r="Z529" s="18"/>
      <c r="AA529" s="18"/>
      <c r="AD529" s="6" t="s">
        <v>35</v>
      </c>
      <c r="AE529" s="19" t="s">
        <v>36</v>
      </c>
    </row>
    <row r="530" spans="1:31" ht="14.4" x14ac:dyDescent="0.3">
      <c r="A530" s="21">
        <v>4854</v>
      </c>
      <c r="B530" s="37" t="s">
        <v>47</v>
      </c>
      <c r="C530" s="8">
        <v>1009</v>
      </c>
      <c r="D530" s="92" t="s">
        <v>32</v>
      </c>
      <c r="E530" s="6" t="s">
        <v>33</v>
      </c>
      <c r="F530" s="42">
        <v>45936</v>
      </c>
      <c r="G530" s="66">
        <v>45942</v>
      </c>
      <c r="H530" s="22">
        <v>292</v>
      </c>
      <c r="I530" s="23">
        <v>297</v>
      </c>
      <c r="J530" s="24"/>
      <c r="K530" s="14">
        <v>45994</v>
      </c>
      <c r="L530" s="22"/>
      <c r="M530" s="22"/>
      <c r="T530" s="82" t="str">
        <f t="shared" ca="1" si="238"/>
        <v/>
      </c>
      <c r="U530" s="82" t="str">
        <f t="shared" ca="1" si="239"/>
        <v/>
      </c>
      <c r="V530" s="75">
        <f>8</f>
        <v>8</v>
      </c>
      <c r="W530" s="83" t="s">
        <v>391</v>
      </c>
      <c r="X530" s="83" t="s">
        <v>267</v>
      </c>
      <c r="Y530" s="28"/>
      <c r="Z530" s="28"/>
      <c r="AA530" s="28"/>
      <c r="AD530" s="21" t="s">
        <v>35</v>
      </c>
      <c r="AE530" s="19" t="s">
        <v>36</v>
      </c>
    </row>
    <row r="531" spans="1:31" ht="14.4" x14ac:dyDescent="0.3">
      <c r="A531" s="21">
        <v>4953</v>
      </c>
      <c r="B531" s="37" t="s">
        <v>47</v>
      </c>
      <c r="C531" s="8">
        <v>1009</v>
      </c>
      <c r="D531" s="92" t="s">
        <v>32</v>
      </c>
      <c r="E531" s="6" t="s">
        <v>33</v>
      </c>
      <c r="F531" s="38">
        <v>46000</v>
      </c>
      <c r="G531" s="38">
        <v>46005</v>
      </c>
      <c r="H531" s="22">
        <v>218</v>
      </c>
      <c r="I531" s="23">
        <v>228</v>
      </c>
      <c r="J531" s="24"/>
      <c r="K531" s="38">
        <v>46005</v>
      </c>
      <c r="L531" s="22"/>
      <c r="M531" s="22"/>
      <c r="T531" s="82" t="str">
        <f t="shared" ca="1" si="238"/>
        <v/>
      </c>
      <c r="U531" s="82" t="str">
        <f t="shared" ca="1" si="239"/>
        <v/>
      </c>
      <c r="V531" s="82"/>
      <c r="W531" s="83" t="s">
        <v>534</v>
      </c>
      <c r="X531" s="83" t="s">
        <v>409</v>
      </c>
      <c r="Y531" s="28"/>
      <c r="Z531" s="28"/>
      <c r="AA531" s="28"/>
      <c r="AD531" s="21" t="s">
        <v>35</v>
      </c>
      <c r="AE531" s="19" t="s">
        <v>36</v>
      </c>
    </row>
    <row r="532" spans="1:31" ht="14.4" x14ac:dyDescent="0.3">
      <c r="A532" s="6">
        <v>4506</v>
      </c>
      <c r="B532" s="7" t="s">
        <v>535</v>
      </c>
      <c r="C532" s="8">
        <v>1012</v>
      </c>
      <c r="D532" s="92" t="s">
        <v>202</v>
      </c>
      <c r="E532" s="6" t="s">
        <v>33</v>
      </c>
      <c r="F532" s="10">
        <v>45670</v>
      </c>
      <c r="G532" s="10">
        <v>45672</v>
      </c>
      <c r="H532" s="11">
        <v>415</v>
      </c>
      <c r="I532" s="12">
        <v>654</v>
      </c>
      <c r="J532" s="13"/>
      <c r="K532" s="36">
        <v>45673</v>
      </c>
      <c r="L532" s="11"/>
      <c r="M532" s="11"/>
      <c r="T532" s="78" t="str">
        <f t="shared" ca="1" si="238"/>
        <v/>
      </c>
      <c r="U532" s="78" t="str">
        <f t="shared" ca="1" si="239"/>
        <v/>
      </c>
      <c r="V532" s="78"/>
      <c r="W532" s="78"/>
      <c r="X532" s="74" t="s">
        <v>34</v>
      </c>
      <c r="Y532" s="18"/>
      <c r="Z532" s="18"/>
      <c r="AA532" s="18"/>
      <c r="AD532" s="6" t="s">
        <v>35</v>
      </c>
      <c r="AE532" s="19" t="s">
        <v>36</v>
      </c>
    </row>
    <row r="533" spans="1:31" ht="14.4" x14ac:dyDescent="0.3">
      <c r="A533" s="6">
        <v>4613</v>
      </c>
      <c r="B533" s="7" t="s">
        <v>84</v>
      </c>
      <c r="C533" s="8">
        <v>1012</v>
      </c>
      <c r="D533" s="92" t="s">
        <v>38</v>
      </c>
      <c r="E533" s="6" t="s">
        <v>33</v>
      </c>
      <c r="F533" s="10">
        <v>45736</v>
      </c>
      <c r="G533" s="10">
        <v>45737</v>
      </c>
      <c r="H533" s="16"/>
      <c r="I533" s="53"/>
      <c r="J533" s="54"/>
      <c r="K533" s="36">
        <v>45742</v>
      </c>
      <c r="L533" s="11"/>
      <c r="M533" s="11"/>
      <c r="T533" s="78" t="str">
        <f t="shared" ca="1" si="238"/>
        <v/>
      </c>
      <c r="U533" s="78" t="str">
        <f t="shared" ca="1" si="239"/>
        <v/>
      </c>
      <c r="V533" s="78"/>
      <c r="W533" s="78"/>
      <c r="X533" s="74" t="s">
        <v>34</v>
      </c>
      <c r="Y533" s="18"/>
      <c r="Z533" s="18"/>
      <c r="AA533" s="18"/>
      <c r="AD533" s="6" t="s">
        <v>35</v>
      </c>
      <c r="AE533" s="19" t="s">
        <v>36</v>
      </c>
    </row>
    <row r="534" spans="1:31" ht="14.4" x14ac:dyDescent="0.3">
      <c r="A534" s="21">
        <v>5028</v>
      </c>
      <c r="B534" s="26" t="s">
        <v>536</v>
      </c>
      <c r="C534" s="8">
        <v>1018</v>
      </c>
      <c r="D534" s="92" t="s">
        <v>32</v>
      </c>
      <c r="E534" s="6" t="s">
        <v>33</v>
      </c>
      <c r="F534" s="27">
        <v>46048</v>
      </c>
      <c r="G534" s="27">
        <v>46056</v>
      </c>
      <c r="H534" s="29">
        <v>293</v>
      </c>
      <c r="I534" s="30">
        <v>293</v>
      </c>
      <c r="J534" s="21"/>
      <c r="K534" s="31">
        <v>46062</v>
      </c>
      <c r="L534" s="29"/>
      <c r="M534" s="29"/>
      <c r="N534" s="97">
        <v>46062</v>
      </c>
      <c r="O534" s="70"/>
      <c r="P534" s="70"/>
      <c r="Q534" s="71"/>
      <c r="R534" s="71" t="str">
        <f t="shared" ref="R534:R535" si="241">IF(Q534,Q534-K534,"")</f>
        <v/>
      </c>
      <c r="S534" s="71" t="str">
        <f t="shared" ref="S534:S535" si="242">IF(R534="","",IF(R534&lt;=4,"Excellent",IF(R534&lt;=8,"Good",IF(R534&lt;=15,"Average",IF(R534&lt;=30,"Poor",IF(R534&gt;=30,"Bad"))))))</f>
        <v/>
      </c>
      <c r="T534" s="68" t="str">
        <f t="shared" ref="T534:T535" ca="1" si="243">IF(U534="","",IF(U534&lt;=3,"Excellent",IF(U534&lt;=7,"Good",IF(U534&lt;=14,"Average",IF(U534&lt;=30,"Poor",IF(U534&gt;=30,"Bad"))))))</f>
        <v/>
      </c>
      <c r="U534" s="68" t="str">
        <f ca="1">IF(E534="Document", IF(#REF!="", "", TODAY() -#REF!), "")</f>
        <v/>
      </c>
      <c r="V534" s="68">
        <f>1</f>
        <v>1</v>
      </c>
      <c r="W534" s="78" t="s">
        <v>113</v>
      </c>
      <c r="X534" s="78" t="s">
        <v>141</v>
      </c>
      <c r="Y534" s="75"/>
      <c r="Z534" s="75"/>
      <c r="AD534" s="21" t="s">
        <v>35</v>
      </c>
      <c r="AE534" s="19" t="s">
        <v>36</v>
      </c>
    </row>
    <row r="535" spans="1:31" ht="14.4" x14ac:dyDescent="0.3">
      <c r="A535" s="21">
        <v>5072</v>
      </c>
      <c r="B535" s="26" t="s">
        <v>537</v>
      </c>
      <c r="C535" s="8">
        <v>1018</v>
      </c>
      <c r="D535" s="92" t="s">
        <v>32</v>
      </c>
      <c r="E535" s="59" t="s">
        <v>46</v>
      </c>
      <c r="F535" s="27">
        <v>46069</v>
      </c>
      <c r="G535" s="27">
        <v>46075</v>
      </c>
      <c r="H535" s="29"/>
      <c r="I535" s="30"/>
      <c r="J535" s="21"/>
      <c r="K535" s="31"/>
      <c r="L535" s="29"/>
      <c r="M535" s="29"/>
      <c r="N535" s="69"/>
      <c r="O535" s="70"/>
      <c r="P535" s="70"/>
      <c r="Q535" s="71"/>
      <c r="R535" s="71" t="str">
        <f t="shared" si="241"/>
        <v/>
      </c>
      <c r="S535" s="71" t="str">
        <f t="shared" si="242"/>
        <v/>
      </c>
      <c r="T535" s="68" t="str">
        <f t="shared" ca="1" si="243"/>
        <v>Bad</v>
      </c>
      <c r="U535" s="21">
        <f t="shared" ref="U535" ca="1" si="244">IF(E535="Document", IF(G535="", "", TODAY() - G535), "")</f>
        <v>60</v>
      </c>
      <c r="V535" s="68">
        <f>40</f>
        <v>40</v>
      </c>
      <c r="W535" s="78"/>
      <c r="X535" s="78"/>
      <c r="Y535" s="75"/>
      <c r="Z535" s="75"/>
      <c r="AD535" s="21" t="s">
        <v>35</v>
      </c>
      <c r="AE535" s="19" t="s">
        <v>36</v>
      </c>
    </row>
    <row r="536" spans="1:31" ht="14.4" x14ac:dyDescent="0.3">
      <c r="A536" s="6">
        <v>4547</v>
      </c>
      <c r="B536" s="7" t="s">
        <v>367</v>
      </c>
      <c r="C536" s="8">
        <v>1018</v>
      </c>
      <c r="D536" s="92" t="s">
        <v>32</v>
      </c>
      <c r="E536" s="6" t="s">
        <v>33</v>
      </c>
      <c r="F536" s="10">
        <v>45691</v>
      </c>
      <c r="G536" s="10">
        <v>45697</v>
      </c>
      <c r="H536" s="11">
        <v>203</v>
      </c>
      <c r="I536" s="12">
        <v>228</v>
      </c>
      <c r="J536" s="13"/>
      <c r="K536" s="36">
        <v>45698</v>
      </c>
      <c r="L536" s="11"/>
      <c r="M536" s="11"/>
      <c r="T536" s="78" t="str">
        <f t="shared" ref="T536:T568" ca="1" si="245">IF($U536="","",IF($U536&lt;=3,"Excellent",IF($U536&lt;=7,"Good",IF($U536&lt;=14,"Average",IF($U536&lt;=30,"Poor",IF($U536&gt;=30,"Bad"))))))</f>
        <v/>
      </c>
      <c r="U536" s="78" t="str">
        <f t="shared" ref="U536:U568" ca="1" si="246">IF(E536="Document", IF(G536="", "", TODAY() - G536), "")</f>
        <v/>
      </c>
      <c r="V536" s="78"/>
      <c r="W536" s="78"/>
      <c r="X536" s="74" t="s">
        <v>34</v>
      </c>
      <c r="Y536" s="18"/>
      <c r="Z536" s="18"/>
      <c r="AA536" s="18"/>
      <c r="AD536" s="6" t="s">
        <v>35</v>
      </c>
      <c r="AE536" s="19" t="s">
        <v>36</v>
      </c>
    </row>
    <row r="537" spans="1:31" ht="14.4" x14ac:dyDescent="0.3">
      <c r="A537" s="6">
        <v>4546</v>
      </c>
      <c r="B537" s="7" t="s">
        <v>538</v>
      </c>
      <c r="C537" s="8">
        <v>1020</v>
      </c>
      <c r="D537" s="92" t="s">
        <v>32</v>
      </c>
      <c r="E537" s="6" t="s">
        <v>46</v>
      </c>
      <c r="F537" s="10">
        <v>45687</v>
      </c>
      <c r="G537" s="10">
        <v>45687</v>
      </c>
      <c r="H537" s="16"/>
      <c r="I537" s="53"/>
      <c r="J537" s="54"/>
      <c r="K537" s="41"/>
      <c r="L537" s="11"/>
      <c r="M537" s="11"/>
      <c r="T537" s="77" t="str">
        <f t="shared" ca="1" si="245"/>
        <v>Bad</v>
      </c>
      <c r="U537" s="73">
        <f t="shared" ca="1" si="246"/>
        <v>448</v>
      </c>
      <c r="V537" s="73">
        <f>109</f>
        <v>109</v>
      </c>
      <c r="W537" s="78"/>
      <c r="X537" s="78"/>
      <c r="Y537" s="18"/>
      <c r="Z537" s="18"/>
      <c r="AA537" s="18"/>
      <c r="AD537" s="6" t="s">
        <v>35</v>
      </c>
      <c r="AE537" s="19" t="s">
        <v>36</v>
      </c>
    </row>
    <row r="538" spans="1:31" ht="14.4" x14ac:dyDescent="0.3">
      <c r="A538" s="6">
        <v>4546</v>
      </c>
      <c r="B538" s="7" t="s">
        <v>538</v>
      </c>
      <c r="C538" s="8">
        <v>1020</v>
      </c>
      <c r="D538" s="92" t="s">
        <v>32</v>
      </c>
      <c r="E538" s="6" t="s">
        <v>77</v>
      </c>
      <c r="F538" s="10">
        <v>45687</v>
      </c>
      <c r="G538" s="10">
        <v>45691</v>
      </c>
      <c r="H538" s="16"/>
      <c r="I538" s="53"/>
      <c r="J538" s="54"/>
      <c r="K538" s="14">
        <v>45691</v>
      </c>
      <c r="L538" s="11"/>
      <c r="M538" s="11"/>
      <c r="T538" s="78" t="str">
        <f t="shared" ca="1" si="245"/>
        <v/>
      </c>
      <c r="U538" s="78" t="str">
        <f t="shared" ca="1" si="246"/>
        <v/>
      </c>
      <c r="V538" s="73">
        <f>12</f>
        <v>12</v>
      </c>
      <c r="W538" s="74" t="s">
        <v>381</v>
      </c>
      <c r="X538" s="78"/>
      <c r="Y538" s="18"/>
      <c r="Z538" s="18"/>
      <c r="AA538" s="18"/>
      <c r="AD538" s="6" t="s">
        <v>35</v>
      </c>
      <c r="AE538" s="19" t="s">
        <v>36</v>
      </c>
    </row>
    <row r="539" spans="1:31" ht="14.4" x14ac:dyDescent="0.3">
      <c r="A539" s="21">
        <v>4891</v>
      </c>
      <c r="B539" s="37" t="s">
        <v>539</v>
      </c>
      <c r="C539" s="8">
        <v>1020</v>
      </c>
      <c r="D539" s="92" t="s">
        <v>38</v>
      </c>
      <c r="E539" s="21" t="s">
        <v>33</v>
      </c>
      <c r="F539" s="42">
        <v>45967</v>
      </c>
      <c r="G539" s="42">
        <v>45975</v>
      </c>
      <c r="H539" s="22">
        <v>45</v>
      </c>
      <c r="I539" s="23">
        <v>45</v>
      </c>
      <c r="J539" s="24"/>
      <c r="K539" s="14">
        <v>45976</v>
      </c>
      <c r="L539" s="22"/>
      <c r="M539" s="22"/>
      <c r="T539" s="82" t="str">
        <f t="shared" ca="1" si="245"/>
        <v/>
      </c>
      <c r="U539" s="82" t="str">
        <f t="shared" ca="1" si="246"/>
        <v/>
      </c>
      <c r="V539" s="82"/>
      <c r="W539" s="83" t="s">
        <v>243</v>
      </c>
      <c r="X539" s="83" t="s">
        <v>321</v>
      </c>
      <c r="Y539" s="28"/>
      <c r="Z539" s="28"/>
      <c r="AA539" s="28"/>
      <c r="AD539" s="21" t="s">
        <v>35</v>
      </c>
      <c r="AE539" s="19" t="s">
        <v>36</v>
      </c>
    </row>
    <row r="540" spans="1:31" ht="14.4" x14ac:dyDescent="0.3">
      <c r="A540" s="21">
        <v>4891</v>
      </c>
      <c r="B540" s="37" t="s">
        <v>539</v>
      </c>
      <c r="C540" s="8">
        <v>1020</v>
      </c>
      <c r="D540" s="92" t="s">
        <v>38</v>
      </c>
      <c r="E540" s="21" t="s">
        <v>33</v>
      </c>
      <c r="F540" s="42">
        <v>45967</v>
      </c>
      <c r="G540" s="42">
        <v>45975</v>
      </c>
      <c r="H540" s="22">
        <v>45</v>
      </c>
      <c r="I540" s="23">
        <v>45</v>
      </c>
      <c r="J540" s="24"/>
      <c r="K540" s="14">
        <v>45976</v>
      </c>
      <c r="L540" s="22"/>
      <c r="M540" s="22"/>
      <c r="T540" s="82" t="str">
        <f t="shared" ca="1" si="245"/>
        <v/>
      </c>
      <c r="U540" s="82" t="str">
        <f t="shared" ca="1" si="246"/>
        <v/>
      </c>
      <c r="V540" s="82"/>
      <c r="W540" s="83" t="s">
        <v>243</v>
      </c>
      <c r="X540" s="83" t="s">
        <v>321</v>
      </c>
      <c r="Y540" s="28"/>
      <c r="Z540" s="28"/>
      <c r="AA540" s="28"/>
      <c r="AD540" s="21" t="s">
        <v>35</v>
      </c>
      <c r="AE540" s="19" t="s">
        <v>36</v>
      </c>
    </row>
    <row r="541" spans="1:31" ht="14.4" x14ac:dyDescent="0.3">
      <c r="A541" s="6">
        <v>4672</v>
      </c>
      <c r="B541" s="7" t="s">
        <v>540</v>
      </c>
      <c r="C541" s="8">
        <v>1021</v>
      </c>
      <c r="D541" s="92" t="s">
        <v>57</v>
      </c>
      <c r="E541" s="6" t="s">
        <v>33</v>
      </c>
      <c r="F541" s="10">
        <v>45800</v>
      </c>
      <c r="G541" s="10">
        <v>45800</v>
      </c>
      <c r="H541" s="11">
        <v>20</v>
      </c>
      <c r="I541" s="12">
        <v>20</v>
      </c>
      <c r="J541" s="13"/>
      <c r="K541" s="14">
        <v>45803</v>
      </c>
      <c r="L541" s="11"/>
      <c r="M541" s="11"/>
      <c r="T541" s="78" t="str">
        <f t="shared" ca="1" si="245"/>
        <v/>
      </c>
      <c r="U541" s="78" t="str">
        <f t="shared" ca="1" si="246"/>
        <v/>
      </c>
      <c r="V541" s="78"/>
      <c r="W541" s="78"/>
      <c r="X541" s="74" t="s">
        <v>34</v>
      </c>
      <c r="Y541" s="18"/>
      <c r="Z541" s="18"/>
      <c r="AA541" s="18"/>
      <c r="AD541" s="6" t="s">
        <v>35</v>
      </c>
      <c r="AE541" s="19" t="s">
        <v>36</v>
      </c>
    </row>
    <row r="542" spans="1:31" ht="14.4" x14ac:dyDescent="0.3">
      <c r="A542" s="6">
        <v>4541</v>
      </c>
      <c r="B542" s="7" t="s">
        <v>504</v>
      </c>
      <c r="C542" s="8">
        <v>1024</v>
      </c>
      <c r="D542" s="92" t="s">
        <v>202</v>
      </c>
      <c r="E542" s="6" t="s">
        <v>33</v>
      </c>
      <c r="F542" s="10">
        <v>45691</v>
      </c>
      <c r="G542" s="10">
        <v>45729</v>
      </c>
      <c r="H542" s="12">
        <v>1165</v>
      </c>
      <c r="I542" s="12">
        <v>1201</v>
      </c>
      <c r="J542" s="13"/>
      <c r="K542" s="36">
        <v>45730</v>
      </c>
      <c r="L542" s="11"/>
      <c r="M542" s="12"/>
      <c r="T542" s="78" t="str">
        <f t="shared" ca="1" si="245"/>
        <v/>
      </c>
      <c r="U542" s="78" t="str">
        <f t="shared" ca="1" si="246"/>
        <v/>
      </c>
      <c r="V542" s="78"/>
      <c r="W542" s="78"/>
      <c r="X542" s="74" t="s">
        <v>34</v>
      </c>
      <c r="Y542" s="18"/>
      <c r="Z542" s="18"/>
      <c r="AA542" s="18"/>
      <c r="AD542" s="6" t="s">
        <v>35</v>
      </c>
      <c r="AE542" s="19" t="s">
        <v>36</v>
      </c>
    </row>
    <row r="543" spans="1:31" ht="14.4" x14ac:dyDescent="0.3">
      <c r="A543" s="6">
        <v>4541</v>
      </c>
      <c r="B543" s="7" t="s">
        <v>504</v>
      </c>
      <c r="C543" s="8">
        <v>1024</v>
      </c>
      <c r="D543" s="92" t="s">
        <v>202</v>
      </c>
      <c r="E543" s="6" t="s">
        <v>33</v>
      </c>
      <c r="F543" s="10">
        <v>45691</v>
      </c>
      <c r="G543" s="10">
        <v>45729</v>
      </c>
      <c r="H543" s="12">
        <v>1165</v>
      </c>
      <c r="I543" s="12">
        <v>1201</v>
      </c>
      <c r="J543" s="13"/>
      <c r="K543" s="36">
        <v>45730</v>
      </c>
      <c r="L543" s="11"/>
      <c r="M543" s="12"/>
      <c r="T543" s="78" t="str">
        <f t="shared" ca="1" si="245"/>
        <v/>
      </c>
      <c r="U543" s="78" t="str">
        <f t="shared" ca="1" si="246"/>
        <v/>
      </c>
      <c r="V543" s="78"/>
      <c r="W543" s="78"/>
      <c r="X543" s="74" t="s">
        <v>34</v>
      </c>
      <c r="Y543" s="18"/>
      <c r="Z543" s="18"/>
      <c r="AA543" s="18"/>
      <c r="AD543" s="6" t="s">
        <v>35</v>
      </c>
      <c r="AE543" s="19" t="s">
        <v>36</v>
      </c>
    </row>
    <row r="544" spans="1:31" ht="14.4" x14ac:dyDescent="0.3">
      <c r="A544" s="6">
        <v>4561</v>
      </c>
      <c r="B544" s="7" t="s">
        <v>541</v>
      </c>
      <c r="C544" s="8">
        <v>1025</v>
      </c>
      <c r="D544" s="92" t="s">
        <v>202</v>
      </c>
      <c r="E544" s="6" t="s">
        <v>33</v>
      </c>
      <c r="F544" s="10">
        <v>45702</v>
      </c>
      <c r="G544" s="10">
        <v>45704</v>
      </c>
      <c r="H544" s="11">
        <v>71</v>
      </c>
      <c r="I544" s="12">
        <v>124</v>
      </c>
      <c r="J544" s="13"/>
      <c r="K544" s="36">
        <v>45722</v>
      </c>
      <c r="L544" s="11"/>
      <c r="M544" s="11"/>
      <c r="T544" s="78" t="str">
        <f t="shared" ca="1" si="245"/>
        <v/>
      </c>
      <c r="U544" s="78" t="str">
        <f t="shared" ca="1" si="246"/>
        <v/>
      </c>
      <c r="V544" s="78"/>
      <c r="W544" s="78"/>
      <c r="X544" s="74" t="s">
        <v>34</v>
      </c>
      <c r="Y544" s="18"/>
      <c r="Z544" s="18"/>
      <c r="AA544" s="18"/>
      <c r="AD544" s="6" t="s">
        <v>35</v>
      </c>
      <c r="AE544" s="19" t="s">
        <v>36</v>
      </c>
    </row>
    <row r="545" spans="1:31" ht="14.4" x14ac:dyDescent="0.3">
      <c r="A545" s="6">
        <v>4587</v>
      </c>
      <c r="B545" s="7" t="s">
        <v>542</v>
      </c>
      <c r="C545" s="8">
        <v>1026</v>
      </c>
      <c r="D545" s="92" t="s">
        <v>202</v>
      </c>
      <c r="E545" s="6" t="s">
        <v>33</v>
      </c>
      <c r="F545" s="10">
        <v>45720</v>
      </c>
      <c r="G545" s="10">
        <v>45741</v>
      </c>
      <c r="H545" s="11">
        <v>719</v>
      </c>
      <c r="I545" s="12">
        <v>868</v>
      </c>
      <c r="J545" s="13"/>
      <c r="K545" s="36">
        <v>45743</v>
      </c>
      <c r="L545" s="11"/>
      <c r="M545" s="11"/>
      <c r="T545" s="78" t="str">
        <f t="shared" ca="1" si="245"/>
        <v/>
      </c>
      <c r="U545" s="78" t="str">
        <f t="shared" ca="1" si="246"/>
        <v/>
      </c>
      <c r="V545" s="78"/>
      <c r="W545" s="78"/>
      <c r="X545" s="74" t="s">
        <v>34</v>
      </c>
      <c r="Y545" s="18"/>
      <c r="Z545" s="18"/>
      <c r="AA545" s="18"/>
      <c r="AD545" s="6" t="s">
        <v>35</v>
      </c>
      <c r="AE545" s="19" t="s">
        <v>36</v>
      </c>
    </row>
    <row r="546" spans="1:31" ht="14.4" x14ac:dyDescent="0.3">
      <c r="A546" s="6">
        <v>4587</v>
      </c>
      <c r="B546" s="7" t="s">
        <v>542</v>
      </c>
      <c r="C546" s="8">
        <v>1026</v>
      </c>
      <c r="D546" s="92" t="s">
        <v>202</v>
      </c>
      <c r="E546" s="6" t="s">
        <v>33</v>
      </c>
      <c r="F546" s="10">
        <v>45720</v>
      </c>
      <c r="G546" s="10">
        <v>45741</v>
      </c>
      <c r="H546" s="11">
        <v>719</v>
      </c>
      <c r="I546" s="12">
        <v>868</v>
      </c>
      <c r="J546" s="13"/>
      <c r="K546" s="36">
        <v>45743</v>
      </c>
      <c r="L546" s="11"/>
      <c r="M546" s="11"/>
      <c r="T546" s="78" t="str">
        <f t="shared" ca="1" si="245"/>
        <v/>
      </c>
      <c r="U546" s="78" t="str">
        <f t="shared" ca="1" si="246"/>
        <v/>
      </c>
      <c r="V546" s="78"/>
      <c r="W546" s="78"/>
      <c r="X546" s="74" t="s">
        <v>34</v>
      </c>
      <c r="Y546" s="18"/>
      <c r="Z546" s="18"/>
      <c r="AA546" s="18"/>
      <c r="AD546" s="6" t="s">
        <v>35</v>
      </c>
      <c r="AE546" s="19" t="s">
        <v>36</v>
      </c>
    </row>
    <row r="547" spans="1:31" ht="14.4" x14ac:dyDescent="0.3">
      <c r="A547" s="6">
        <v>4433</v>
      </c>
      <c r="B547" s="7" t="s">
        <v>504</v>
      </c>
      <c r="C547" s="8">
        <v>1029</v>
      </c>
      <c r="D547" s="92" t="s">
        <v>202</v>
      </c>
      <c r="E547" s="6" t="s">
        <v>33</v>
      </c>
      <c r="F547" s="10">
        <v>45733</v>
      </c>
      <c r="G547" s="10">
        <v>45793</v>
      </c>
      <c r="H547" s="11">
        <v>1154</v>
      </c>
      <c r="I547" s="12">
        <v>1204</v>
      </c>
      <c r="J547" s="13"/>
      <c r="K547" s="14">
        <v>45799</v>
      </c>
      <c r="L547" s="11"/>
      <c r="M547" s="11"/>
      <c r="T547" s="78" t="str">
        <f t="shared" ca="1" si="245"/>
        <v/>
      </c>
      <c r="U547" s="78" t="str">
        <f t="shared" ca="1" si="246"/>
        <v/>
      </c>
      <c r="V547" s="78"/>
      <c r="W547" s="78"/>
      <c r="X547" s="74" t="s">
        <v>34</v>
      </c>
      <c r="Y547" s="18"/>
      <c r="Z547" s="18"/>
      <c r="AA547" s="18"/>
      <c r="AD547" s="6" t="s">
        <v>35</v>
      </c>
      <c r="AE547" s="19" t="s">
        <v>36</v>
      </c>
    </row>
    <row r="548" spans="1:31" ht="14.4" x14ac:dyDescent="0.3">
      <c r="A548" s="6">
        <v>4433</v>
      </c>
      <c r="B548" s="7" t="s">
        <v>504</v>
      </c>
      <c r="C548" s="8">
        <v>1029</v>
      </c>
      <c r="D548" s="92" t="s">
        <v>202</v>
      </c>
      <c r="E548" s="6" t="s">
        <v>33</v>
      </c>
      <c r="F548" s="10">
        <v>45733</v>
      </c>
      <c r="G548" s="10">
        <v>45793</v>
      </c>
      <c r="H548" s="11">
        <v>1154</v>
      </c>
      <c r="I548" s="12">
        <v>1204</v>
      </c>
      <c r="J548" s="13"/>
      <c r="K548" s="14">
        <v>45799</v>
      </c>
      <c r="L548" s="11"/>
      <c r="M548" s="11"/>
      <c r="T548" s="78" t="str">
        <f t="shared" ca="1" si="245"/>
        <v/>
      </c>
      <c r="U548" s="78" t="str">
        <f t="shared" ca="1" si="246"/>
        <v/>
      </c>
      <c r="V548" s="78"/>
      <c r="W548" s="78"/>
      <c r="X548" s="74" t="s">
        <v>34</v>
      </c>
      <c r="Y548" s="18"/>
      <c r="Z548" s="18"/>
      <c r="AA548" s="18"/>
      <c r="AD548" s="6" t="s">
        <v>35</v>
      </c>
      <c r="AE548" s="19" t="s">
        <v>36</v>
      </c>
    </row>
    <row r="549" spans="1:31" ht="14.4" x14ac:dyDescent="0.3">
      <c r="A549" s="21">
        <v>4747</v>
      </c>
      <c r="B549" s="7" t="s">
        <v>347</v>
      </c>
      <c r="C549" s="8">
        <v>1029</v>
      </c>
      <c r="D549" s="92" t="s">
        <v>57</v>
      </c>
      <c r="E549" s="21" t="s">
        <v>33</v>
      </c>
      <c r="F549" s="10">
        <v>45859</v>
      </c>
      <c r="G549" s="63">
        <v>45862</v>
      </c>
      <c r="H549" s="22">
        <v>122</v>
      </c>
      <c r="I549" s="23">
        <v>122</v>
      </c>
      <c r="J549" s="24"/>
      <c r="K549" s="14">
        <v>45863</v>
      </c>
      <c r="L549" s="22"/>
      <c r="M549" s="22"/>
      <c r="T549" s="82" t="str">
        <f t="shared" ca="1" si="245"/>
        <v/>
      </c>
      <c r="U549" s="82" t="str">
        <f t="shared" ca="1" si="246"/>
        <v/>
      </c>
      <c r="V549" s="82"/>
      <c r="W549" s="83" t="s">
        <v>543</v>
      </c>
      <c r="X549" s="83" t="s">
        <v>59</v>
      </c>
      <c r="Y549" s="28"/>
      <c r="Z549" s="28"/>
      <c r="AA549" s="28"/>
      <c r="AD549" s="21" t="s">
        <v>35</v>
      </c>
      <c r="AE549" s="19" t="s">
        <v>36</v>
      </c>
    </row>
    <row r="550" spans="1:31" ht="14.4" x14ac:dyDescent="0.3">
      <c r="A550" s="21">
        <v>4776</v>
      </c>
      <c r="B550" s="55" t="s">
        <v>37</v>
      </c>
      <c r="C550" s="8">
        <v>1029</v>
      </c>
      <c r="D550" s="92" t="s">
        <v>38</v>
      </c>
      <c r="E550" s="21" t="s">
        <v>33</v>
      </c>
      <c r="F550" s="10">
        <v>45873</v>
      </c>
      <c r="G550" s="10">
        <v>45877</v>
      </c>
      <c r="H550" s="22">
        <v>65</v>
      </c>
      <c r="I550" s="23">
        <v>65</v>
      </c>
      <c r="J550" s="24"/>
      <c r="K550" s="14">
        <v>45887</v>
      </c>
      <c r="L550" s="22"/>
      <c r="M550" s="22"/>
      <c r="T550" s="82" t="str">
        <f t="shared" ca="1" si="245"/>
        <v/>
      </c>
      <c r="U550" s="82" t="str">
        <f t="shared" ca="1" si="246"/>
        <v/>
      </c>
      <c r="V550" s="75">
        <f>7</f>
        <v>7</v>
      </c>
      <c r="W550" s="83" t="s">
        <v>58</v>
      </c>
      <c r="X550" s="83" t="s">
        <v>59</v>
      </c>
      <c r="Y550" s="28"/>
      <c r="Z550" s="28"/>
      <c r="AA550" s="28"/>
      <c r="AD550" s="21" t="s">
        <v>35</v>
      </c>
      <c r="AE550" s="19" t="s">
        <v>36</v>
      </c>
    </row>
    <row r="551" spans="1:31" ht="14.4" x14ac:dyDescent="0.3">
      <c r="A551" s="21">
        <v>4981</v>
      </c>
      <c r="B551" s="37" t="s">
        <v>544</v>
      </c>
      <c r="C551" s="8">
        <v>1029</v>
      </c>
      <c r="D551" s="92" t="s">
        <v>38</v>
      </c>
      <c r="E551" s="21" t="s">
        <v>46</v>
      </c>
      <c r="F551" s="38">
        <v>46017</v>
      </c>
      <c r="G551" s="38">
        <v>46017</v>
      </c>
      <c r="H551" s="25"/>
      <c r="I551" s="39"/>
      <c r="J551" s="40"/>
      <c r="K551" s="41"/>
      <c r="L551" s="25"/>
      <c r="M551" s="25"/>
      <c r="T551" s="81" t="str">
        <f t="shared" ca="1" si="245"/>
        <v>Bad</v>
      </c>
      <c r="U551" s="75">
        <f t="shared" ca="1" si="246"/>
        <v>118</v>
      </c>
      <c r="V551" s="82"/>
      <c r="W551" s="82"/>
      <c r="X551" s="82"/>
      <c r="Y551" s="28"/>
      <c r="Z551" s="28"/>
      <c r="AA551" s="28"/>
      <c r="AD551" s="21" t="s">
        <v>35</v>
      </c>
      <c r="AE551" s="19" t="s">
        <v>36</v>
      </c>
    </row>
    <row r="552" spans="1:31" ht="14.4" x14ac:dyDescent="0.3">
      <c r="A552" s="6">
        <v>4664</v>
      </c>
      <c r="B552" s="20" t="s">
        <v>545</v>
      </c>
      <c r="C552" s="8">
        <v>1032</v>
      </c>
      <c r="D552" s="92" t="s">
        <v>202</v>
      </c>
      <c r="E552" s="6" t="s">
        <v>33</v>
      </c>
      <c r="F552" s="10">
        <v>45797</v>
      </c>
      <c r="G552" s="10">
        <v>45851</v>
      </c>
      <c r="H552" s="11">
        <v>829</v>
      </c>
      <c r="I552" s="12">
        <v>829</v>
      </c>
      <c r="J552" s="13"/>
      <c r="K552" s="14">
        <v>45852</v>
      </c>
      <c r="L552" s="11"/>
      <c r="M552" s="11"/>
      <c r="T552" s="78" t="str">
        <f t="shared" ca="1" si="245"/>
        <v/>
      </c>
      <c r="U552" s="78" t="str">
        <f t="shared" ca="1" si="246"/>
        <v/>
      </c>
      <c r="V552" s="78"/>
      <c r="W552" s="74" t="s">
        <v>402</v>
      </c>
      <c r="X552" s="74" t="s">
        <v>546</v>
      </c>
      <c r="Y552" s="18"/>
      <c r="Z552" s="18"/>
      <c r="AA552" s="18"/>
      <c r="AD552" s="6" t="s">
        <v>35</v>
      </c>
      <c r="AE552" s="19" t="s">
        <v>36</v>
      </c>
    </row>
    <row r="553" spans="1:31" ht="14.4" x14ac:dyDescent="0.3">
      <c r="A553" s="6">
        <v>4664</v>
      </c>
      <c r="B553" s="7" t="s">
        <v>545</v>
      </c>
      <c r="C553" s="8">
        <v>1032</v>
      </c>
      <c r="D553" s="92" t="s">
        <v>202</v>
      </c>
      <c r="E553" s="6" t="s">
        <v>33</v>
      </c>
      <c r="F553" s="10">
        <v>45797</v>
      </c>
      <c r="G553" s="10">
        <v>45851</v>
      </c>
      <c r="H553" s="11">
        <v>829</v>
      </c>
      <c r="I553" s="12">
        <v>829</v>
      </c>
      <c r="J553" s="13"/>
      <c r="K553" s="14">
        <v>45852</v>
      </c>
      <c r="L553" s="11"/>
      <c r="M553" s="11"/>
      <c r="T553" s="78" t="str">
        <f t="shared" ca="1" si="245"/>
        <v/>
      </c>
      <c r="U553" s="78" t="str">
        <f t="shared" ca="1" si="246"/>
        <v/>
      </c>
      <c r="V553" s="78"/>
      <c r="W553" s="74" t="s">
        <v>402</v>
      </c>
      <c r="X553" s="74" t="s">
        <v>546</v>
      </c>
      <c r="Y553" s="18"/>
      <c r="Z553" s="18"/>
      <c r="AA553" s="18"/>
      <c r="AD553" s="6" t="s">
        <v>35</v>
      </c>
      <c r="AE553" s="19" t="s">
        <v>36</v>
      </c>
    </row>
    <row r="554" spans="1:31" ht="14.4" x14ac:dyDescent="0.3">
      <c r="A554" s="6">
        <v>4664</v>
      </c>
      <c r="B554" s="7" t="s">
        <v>545</v>
      </c>
      <c r="C554" s="8">
        <v>1032</v>
      </c>
      <c r="D554" s="92" t="s">
        <v>202</v>
      </c>
      <c r="E554" s="6" t="s">
        <v>33</v>
      </c>
      <c r="F554" s="10">
        <v>45797</v>
      </c>
      <c r="G554" s="10">
        <v>45851</v>
      </c>
      <c r="H554" s="11">
        <v>829</v>
      </c>
      <c r="I554" s="12">
        <v>829</v>
      </c>
      <c r="J554" s="13"/>
      <c r="K554" s="14">
        <v>45852</v>
      </c>
      <c r="L554" s="11"/>
      <c r="M554" s="11"/>
      <c r="T554" s="78" t="str">
        <f t="shared" ca="1" si="245"/>
        <v/>
      </c>
      <c r="U554" s="78" t="str">
        <f t="shared" ca="1" si="246"/>
        <v/>
      </c>
      <c r="V554" s="78"/>
      <c r="W554" s="74" t="s">
        <v>402</v>
      </c>
      <c r="X554" s="74" t="s">
        <v>546</v>
      </c>
      <c r="Y554" s="18"/>
      <c r="Z554" s="18"/>
      <c r="AA554" s="18"/>
      <c r="AD554" s="6" t="s">
        <v>35</v>
      </c>
      <c r="AE554" s="19" t="s">
        <v>36</v>
      </c>
    </row>
    <row r="555" spans="1:31" ht="14.4" x14ac:dyDescent="0.3">
      <c r="A555" s="6">
        <v>4664</v>
      </c>
      <c r="B555" s="7" t="s">
        <v>545</v>
      </c>
      <c r="C555" s="8">
        <v>1032</v>
      </c>
      <c r="D555" s="92" t="s">
        <v>202</v>
      </c>
      <c r="E555" s="6" t="s">
        <v>33</v>
      </c>
      <c r="F555" s="10">
        <v>45797</v>
      </c>
      <c r="G555" s="10">
        <v>45851</v>
      </c>
      <c r="H555" s="11">
        <v>829</v>
      </c>
      <c r="I555" s="12">
        <v>829</v>
      </c>
      <c r="J555" s="13"/>
      <c r="K555" s="14">
        <v>45852</v>
      </c>
      <c r="L555" s="11"/>
      <c r="M555" s="11"/>
      <c r="T555" s="78" t="str">
        <f t="shared" ca="1" si="245"/>
        <v/>
      </c>
      <c r="U555" s="78" t="str">
        <f t="shared" ca="1" si="246"/>
        <v/>
      </c>
      <c r="V555" s="78"/>
      <c r="W555" s="74" t="s">
        <v>402</v>
      </c>
      <c r="X555" s="74" t="s">
        <v>546</v>
      </c>
      <c r="Y555" s="18"/>
      <c r="Z555" s="18"/>
      <c r="AA555" s="18"/>
      <c r="AD555" s="6" t="s">
        <v>35</v>
      </c>
      <c r="AE555" s="19" t="s">
        <v>36</v>
      </c>
    </row>
    <row r="556" spans="1:31" ht="14.4" x14ac:dyDescent="0.3">
      <c r="A556" s="6">
        <v>4668</v>
      </c>
      <c r="B556" s="7" t="s">
        <v>542</v>
      </c>
      <c r="C556" s="8">
        <v>1034</v>
      </c>
      <c r="D556" s="92" t="s">
        <v>202</v>
      </c>
      <c r="E556" s="6" t="s">
        <v>33</v>
      </c>
      <c r="F556" s="10">
        <v>45798</v>
      </c>
      <c r="G556" s="10">
        <v>45818</v>
      </c>
      <c r="H556" s="11">
        <v>690</v>
      </c>
      <c r="I556" s="12">
        <v>760</v>
      </c>
      <c r="J556" s="13"/>
      <c r="K556" s="14">
        <v>45819</v>
      </c>
      <c r="L556" s="11"/>
      <c r="M556" s="11"/>
      <c r="T556" s="78" t="str">
        <f t="shared" ca="1" si="245"/>
        <v/>
      </c>
      <c r="U556" s="78" t="str">
        <f t="shared" ca="1" si="246"/>
        <v/>
      </c>
      <c r="V556" s="78"/>
      <c r="W556" s="78"/>
      <c r="X556" s="74" t="s">
        <v>34</v>
      </c>
      <c r="Y556" s="18"/>
      <c r="Z556" s="18"/>
      <c r="AA556" s="18"/>
      <c r="AD556" s="6" t="s">
        <v>35</v>
      </c>
      <c r="AE556" s="19" t="s">
        <v>36</v>
      </c>
    </row>
    <row r="557" spans="1:31" ht="14.4" x14ac:dyDescent="0.3">
      <c r="A557" s="6">
        <v>4668</v>
      </c>
      <c r="B557" s="7" t="s">
        <v>542</v>
      </c>
      <c r="C557" s="8">
        <v>1034</v>
      </c>
      <c r="D557" s="92" t="s">
        <v>202</v>
      </c>
      <c r="E557" s="6" t="s">
        <v>33</v>
      </c>
      <c r="F557" s="10">
        <v>45798</v>
      </c>
      <c r="G557" s="10">
        <v>45818</v>
      </c>
      <c r="H557" s="11">
        <v>690</v>
      </c>
      <c r="I557" s="12">
        <v>760</v>
      </c>
      <c r="J557" s="13"/>
      <c r="K557" s="14">
        <v>45819</v>
      </c>
      <c r="L557" s="11"/>
      <c r="M557" s="11"/>
      <c r="T557" s="78" t="str">
        <f t="shared" ca="1" si="245"/>
        <v/>
      </c>
      <c r="U557" s="78" t="str">
        <f t="shared" ca="1" si="246"/>
        <v/>
      </c>
      <c r="V557" s="78"/>
      <c r="W557" s="78"/>
      <c r="X557" s="74" t="s">
        <v>34</v>
      </c>
      <c r="Y557" s="18"/>
      <c r="Z557" s="18"/>
      <c r="AA557" s="18"/>
      <c r="AD557" s="6" t="s">
        <v>35</v>
      </c>
      <c r="AE557" s="19" t="s">
        <v>36</v>
      </c>
    </row>
    <row r="558" spans="1:31" ht="14.4" x14ac:dyDescent="0.3">
      <c r="A558" s="6">
        <v>4682</v>
      </c>
      <c r="B558" s="7" t="s">
        <v>504</v>
      </c>
      <c r="C558" s="8">
        <v>1035</v>
      </c>
      <c r="D558" s="92" t="s">
        <v>202</v>
      </c>
      <c r="E558" s="6" t="s">
        <v>77</v>
      </c>
      <c r="F558" s="10">
        <v>45830</v>
      </c>
      <c r="G558" s="10">
        <v>45884</v>
      </c>
      <c r="H558" s="16"/>
      <c r="I558" s="53"/>
      <c r="J558" s="54"/>
      <c r="K558" s="14">
        <v>45887</v>
      </c>
      <c r="L558" s="11"/>
      <c r="M558" s="11"/>
      <c r="T558" s="78" t="str">
        <f t="shared" ca="1" si="245"/>
        <v/>
      </c>
      <c r="U558" s="78" t="str">
        <f t="shared" ca="1" si="246"/>
        <v/>
      </c>
      <c r="V558" s="78"/>
      <c r="W558" s="74" t="s">
        <v>102</v>
      </c>
      <c r="X558" s="78"/>
      <c r="Y558" s="18"/>
      <c r="Z558" s="18"/>
      <c r="AA558" s="18"/>
      <c r="AD558" s="6" t="s">
        <v>35</v>
      </c>
      <c r="AE558" s="19" t="s">
        <v>36</v>
      </c>
    </row>
    <row r="559" spans="1:31" ht="14.4" x14ac:dyDescent="0.3">
      <c r="A559" s="6">
        <v>4682</v>
      </c>
      <c r="B559" s="7" t="s">
        <v>504</v>
      </c>
      <c r="C559" s="8">
        <v>1035</v>
      </c>
      <c r="D559" s="92" t="s">
        <v>202</v>
      </c>
      <c r="E559" s="6" t="s">
        <v>77</v>
      </c>
      <c r="F559" s="10">
        <v>45830</v>
      </c>
      <c r="G559" s="10">
        <v>45884</v>
      </c>
      <c r="H559" s="16"/>
      <c r="I559" s="53"/>
      <c r="J559" s="54"/>
      <c r="K559" s="14">
        <v>45887</v>
      </c>
      <c r="L559" s="11"/>
      <c r="M559" s="11"/>
      <c r="T559" s="78" t="str">
        <f t="shared" ca="1" si="245"/>
        <v/>
      </c>
      <c r="U559" s="78" t="str">
        <f t="shared" ca="1" si="246"/>
        <v/>
      </c>
      <c r="V559" s="78"/>
      <c r="W559" s="74" t="s">
        <v>102</v>
      </c>
      <c r="X559" s="78"/>
      <c r="Y559" s="18"/>
      <c r="Z559" s="18"/>
      <c r="AA559" s="18"/>
      <c r="AD559" s="6" t="s">
        <v>35</v>
      </c>
      <c r="AE559" s="19" t="s">
        <v>36</v>
      </c>
    </row>
    <row r="560" spans="1:31" ht="14.4" x14ac:dyDescent="0.3">
      <c r="A560" s="21">
        <v>4888</v>
      </c>
      <c r="B560" s="37" t="s">
        <v>547</v>
      </c>
      <c r="C560" s="8">
        <v>1035</v>
      </c>
      <c r="D560" s="92" t="s">
        <v>202</v>
      </c>
      <c r="E560" s="21" t="s">
        <v>33</v>
      </c>
      <c r="F560" s="42">
        <v>45964</v>
      </c>
      <c r="G560" s="42">
        <v>45981</v>
      </c>
      <c r="H560" s="22">
        <v>1022</v>
      </c>
      <c r="I560" s="23">
        <v>1089</v>
      </c>
      <c r="J560" s="24"/>
      <c r="K560" s="14">
        <v>45982</v>
      </c>
      <c r="L560" s="22"/>
      <c r="M560" s="22"/>
      <c r="T560" s="82" t="str">
        <f t="shared" ca="1" si="245"/>
        <v/>
      </c>
      <c r="U560" s="82" t="str">
        <f t="shared" ca="1" si="246"/>
        <v/>
      </c>
      <c r="V560" s="82"/>
      <c r="W560" s="83" t="s">
        <v>548</v>
      </c>
      <c r="X560" s="83" t="s">
        <v>285</v>
      </c>
      <c r="Y560" s="28"/>
      <c r="Z560" s="28"/>
      <c r="AA560" s="28"/>
      <c r="AD560" s="21" t="s">
        <v>35</v>
      </c>
      <c r="AE560" s="19" t="s">
        <v>36</v>
      </c>
    </row>
    <row r="561" spans="1:31" ht="14.4" x14ac:dyDescent="0.3">
      <c r="A561" s="21">
        <v>4888</v>
      </c>
      <c r="B561" s="37" t="s">
        <v>547</v>
      </c>
      <c r="C561" s="8">
        <v>1035</v>
      </c>
      <c r="D561" s="92" t="s">
        <v>202</v>
      </c>
      <c r="E561" s="21" t="s">
        <v>33</v>
      </c>
      <c r="F561" s="42">
        <v>45964</v>
      </c>
      <c r="G561" s="42">
        <v>45981</v>
      </c>
      <c r="H561" s="22">
        <v>1022</v>
      </c>
      <c r="I561" s="23">
        <v>1089</v>
      </c>
      <c r="J561" s="24"/>
      <c r="K561" s="14">
        <v>45982</v>
      </c>
      <c r="L561" s="22"/>
      <c r="M561" s="22"/>
      <c r="T561" s="82" t="str">
        <f t="shared" ca="1" si="245"/>
        <v/>
      </c>
      <c r="U561" s="82" t="str">
        <f t="shared" ca="1" si="246"/>
        <v/>
      </c>
      <c r="V561" s="82"/>
      <c r="W561" s="83" t="s">
        <v>548</v>
      </c>
      <c r="X561" s="83" t="s">
        <v>285</v>
      </c>
      <c r="Y561" s="28"/>
      <c r="Z561" s="28"/>
      <c r="AA561" s="28"/>
      <c r="AD561" s="21" t="s">
        <v>35</v>
      </c>
      <c r="AE561" s="19" t="s">
        <v>36</v>
      </c>
    </row>
    <row r="562" spans="1:31" ht="14.4" x14ac:dyDescent="0.3">
      <c r="A562" s="21">
        <v>4755</v>
      </c>
      <c r="B562" s="55" t="s">
        <v>504</v>
      </c>
      <c r="C562" s="8">
        <v>1037</v>
      </c>
      <c r="D562" s="92" t="s">
        <v>202</v>
      </c>
      <c r="E562" s="21" t="s">
        <v>33</v>
      </c>
      <c r="F562" s="10">
        <v>45909</v>
      </c>
      <c r="G562" s="10">
        <v>45969</v>
      </c>
      <c r="H562" s="22">
        <v>1053</v>
      </c>
      <c r="I562" s="23">
        <v>1053</v>
      </c>
      <c r="J562" s="24"/>
      <c r="K562" s="14">
        <v>45969</v>
      </c>
      <c r="L562" s="22"/>
      <c r="M562" s="22"/>
      <c r="T562" s="82" t="str">
        <f t="shared" ca="1" si="245"/>
        <v/>
      </c>
      <c r="U562" s="82" t="str">
        <f t="shared" ca="1" si="246"/>
        <v/>
      </c>
      <c r="V562" s="82"/>
      <c r="W562" s="83" t="s">
        <v>549</v>
      </c>
      <c r="X562" s="83" t="s">
        <v>550</v>
      </c>
      <c r="Y562" s="28"/>
      <c r="Z562" s="28"/>
      <c r="AA562" s="28"/>
      <c r="AD562" s="21" t="s">
        <v>35</v>
      </c>
      <c r="AE562" s="19" t="s">
        <v>36</v>
      </c>
    </row>
    <row r="563" spans="1:31" ht="14.4" x14ac:dyDescent="0.3">
      <c r="A563" s="21">
        <v>4755</v>
      </c>
      <c r="B563" s="55" t="s">
        <v>504</v>
      </c>
      <c r="C563" s="8">
        <v>1037</v>
      </c>
      <c r="D563" s="92" t="s">
        <v>202</v>
      </c>
      <c r="E563" s="21" t="s">
        <v>33</v>
      </c>
      <c r="F563" s="10">
        <v>45909</v>
      </c>
      <c r="G563" s="10">
        <v>45969</v>
      </c>
      <c r="H563" s="22">
        <v>1053</v>
      </c>
      <c r="I563" s="23">
        <v>1053</v>
      </c>
      <c r="J563" s="24"/>
      <c r="K563" s="14">
        <v>45969</v>
      </c>
      <c r="L563" s="22"/>
      <c r="M563" s="22"/>
      <c r="T563" s="82" t="str">
        <f t="shared" ca="1" si="245"/>
        <v/>
      </c>
      <c r="U563" s="82" t="str">
        <f t="shared" ca="1" si="246"/>
        <v/>
      </c>
      <c r="V563" s="82"/>
      <c r="W563" s="83" t="s">
        <v>549</v>
      </c>
      <c r="X563" s="83" t="s">
        <v>550</v>
      </c>
      <c r="Y563" s="28"/>
      <c r="Z563" s="28"/>
      <c r="AA563" s="28"/>
      <c r="AD563" s="21" t="s">
        <v>35</v>
      </c>
      <c r="AE563" s="19" t="s">
        <v>36</v>
      </c>
    </row>
    <row r="564" spans="1:31" ht="14.4" x14ac:dyDescent="0.3">
      <c r="A564" s="6">
        <v>4712</v>
      </c>
      <c r="B564" s="20" t="s">
        <v>551</v>
      </c>
      <c r="C564" s="8">
        <v>1038</v>
      </c>
      <c r="D564" s="92" t="s">
        <v>202</v>
      </c>
      <c r="E564" s="6" t="s">
        <v>33</v>
      </c>
      <c r="F564" s="10">
        <v>45838</v>
      </c>
      <c r="G564" s="10">
        <v>45849</v>
      </c>
      <c r="H564" s="11">
        <v>40</v>
      </c>
      <c r="I564" s="12">
        <v>40</v>
      </c>
      <c r="J564" s="13"/>
      <c r="K564" s="14">
        <v>45852</v>
      </c>
      <c r="L564" s="11"/>
      <c r="M564" s="11"/>
      <c r="T564" s="78" t="str">
        <f t="shared" ca="1" si="245"/>
        <v/>
      </c>
      <c r="U564" s="78" t="str">
        <f t="shared" ca="1" si="246"/>
        <v/>
      </c>
      <c r="V564" s="73">
        <f>30</f>
        <v>30</v>
      </c>
      <c r="W564" s="74" t="s">
        <v>552</v>
      </c>
      <c r="X564" s="74" t="s">
        <v>553</v>
      </c>
      <c r="Y564" s="18"/>
      <c r="Z564" s="18"/>
      <c r="AA564" s="18"/>
      <c r="AD564" s="6" t="s">
        <v>35</v>
      </c>
      <c r="AE564" s="19" t="s">
        <v>36</v>
      </c>
    </row>
    <row r="565" spans="1:31" ht="14.4" x14ac:dyDescent="0.3">
      <c r="A565" s="21">
        <v>4918</v>
      </c>
      <c r="B565" s="37" t="s">
        <v>456</v>
      </c>
      <c r="C565" s="8">
        <v>1038</v>
      </c>
      <c r="D565" s="92" t="s">
        <v>32</v>
      </c>
      <c r="E565" s="21" t="s">
        <v>46</v>
      </c>
      <c r="F565" s="42">
        <v>45986</v>
      </c>
      <c r="G565" s="42">
        <v>45987</v>
      </c>
      <c r="H565" s="25"/>
      <c r="I565" s="39"/>
      <c r="J565" s="40"/>
      <c r="K565" s="41"/>
      <c r="L565" s="25"/>
      <c r="M565" s="25"/>
      <c r="T565" s="81" t="str">
        <f t="shared" ca="1" si="245"/>
        <v>Bad</v>
      </c>
      <c r="U565" s="75">
        <f t="shared" ca="1" si="246"/>
        <v>148</v>
      </c>
      <c r="V565" s="82"/>
      <c r="W565" s="82"/>
      <c r="X565" s="82"/>
      <c r="Y565" s="28"/>
      <c r="Z565" s="28"/>
      <c r="AA565" s="28"/>
      <c r="AD565" s="21" t="s">
        <v>35</v>
      </c>
      <c r="AE565" s="19" t="s">
        <v>36</v>
      </c>
    </row>
    <row r="566" spans="1:31" ht="14.4" x14ac:dyDescent="0.3">
      <c r="A566" s="21">
        <v>4918</v>
      </c>
      <c r="B566" s="37" t="s">
        <v>456</v>
      </c>
      <c r="C566" s="8">
        <v>1038</v>
      </c>
      <c r="D566" s="92" t="s">
        <v>32</v>
      </c>
      <c r="E566" s="21" t="s">
        <v>46</v>
      </c>
      <c r="F566" s="42">
        <v>45986</v>
      </c>
      <c r="G566" s="42">
        <v>45987</v>
      </c>
      <c r="H566" s="25"/>
      <c r="I566" s="39"/>
      <c r="J566" s="40"/>
      <c r="K566" s="41"/>
      <c r="L566" s="25"/>
      <c r="M566" s="25"/>
      <c r="T566" s="81" t="str">
        <f t="shared" ca="1" si="245"/>
        <v>Bad</v>
      </c>
      <c r="U566" s="75">
        <f t="shared" ca="1" si="246"/>
        <v>148</v>
      </c>
      <c r="V566" s="82"/>
      <c r="W566" s="82"/>
      <c r="X566" s="82"/>
      <c r="Y566" s="28"/>
      <c r="Z566" s="28"/>
      <c r="AA566" s="28"/>
      <c r="AD566" s="21" t="s">
        <v>35</v>
      </c>
      <c r="AE566" s="19" t="s">
        <v>36</v>
      </c>
    </row>
    <row r="567" spans="1:31" ht="14.4" x14ac:dyDescent="0.3">
      <c r="A567" s="6">
        <v>4713</v>
      </c>
      <c r="B567" s="20" t="s">
        <v>551</v>
      </c>
      <c r="C567" s="8">
        <v>1039</v>
      </c>
      <c r="D567" s="92" t="s">
        <v>202</v>
      </c>
      <c r="E567" s="6" t="s">
        <v>33</v>
      </c>
      <c r="F567" s="10">
        <v>45838</v>
      </c>
      <c r="G567" s="10">
        <v>45847</v>
      </c>
      <c r="H567" s="11">
        <v>40</v>
      </c>
      <c r="I567" s="12">
        <v>40</v>
      </c>
      <c r="J567" s="13"/>
      <c r="K567" s="14">
        <v>45852</v>
      </c>
      <c r="L567" s="11"/>
      <c r="M567" s="11"/>
      <c r="T567" s="78" t="str">
        <f t="shared" ca="1" si="245"/>
        <v/>
      </c>
      <c r="U567" s="78" t="str">
        <f t="shared" ca="1" si="246"/>
        <v/>
      </c>
      <c r="V567" s="73">
        <f>30</f>
        <v>30</v>
      </c>
      <c r="W567" s="74" t="s">
        <v>552</v>
      </c>
      <c r="X567" s="74" t="s">
        <v>297</v>
      </c>
      <c r="Y567" s="18"/>
      <c r="Z567" s="18"/>
      <c r="AA567" s="18"/>
      <c r="AD567" s="6" t="s">
        <v>35</v>
      </c>
      <c r="AE567" s="19" t="s">
        <v>36</v>
      </c>
    </row>
    <row r="568" spans="1:31" ht="14.4" x14ac:dyDescent="0.3">
      <c r="A568" s="21">
        <v>4919</v>
      </c>
      <c r="B568" s="37" t="s">
        <v>554</v>
      </c>
      <c r="C568" s="8">
        <v>1039</v>
      </c>
      <c r="D568" s="92" t="s">
        <v>32</v>
      </c>
      <c r="E568" s="21" t="s">
        <v>33</v>
      </c>
      <c r="F568" s="42">
        <v>45986</v>
      </c>
      <c r="G568" s="42">
        <v>45988</v>
      </c>
      <c r="H568" s="22">
        <v>22</v>
      </c>
      <c r="I568" s="23">
        <v>22</v>
      </c>
      <c r="J568" s="24"/>
      <c r="K568" s="14">
        <v>45989</v>
      </c>
      <c r="L568" s="22"/>
      <c r="M568" s="22"/>
      <c r="T568" s="82" t="str">
        <f t="shared" ca="1" si="245"/>
        <v/>
      </c>
      <c r="U568" s="82" t="str">
        <f t="shared" ca="1" si="246"/>
        <v/>
      </c>
      <c r="V568" s="82"/>
      <c r="W568" s="83" t="s">
        <v>60</v>
      </c>
      <c r="X568" s="83" t="s">
        <v>249</v>
      </c>
      <c r="Y568" s="28"/>
      <c r="Z568" s="28"/>
      <c r="AA568" s="28"/>
      <c r="AD568" s="21" t="s">
        <v>35</v>
      </c>
      <c r="AE568" s="19" t="s">
        <v>36</v>
      </c>
    </row>
    <row r="569" spans="1:31" ht="14.4" x14ac:dyDescent="0.3">
      <c r="A569" s="21">
        <v>5090</v>
      </c>
      <c r="B569" s="26" t="s">
        <v>555</v>
      </c>
      <c r="C569" s="8">
        <v>1043</v>
      </c>
      <c r="D569" s="92" t="s">
        <v>38</v>
      </c>
      <c r="E569" s="6" t="s">
        <v>33</v>
      </c>
      <c r="F569" s="27">
        <v>46078</v>
      </c>
      <c r="G569" s="27">
        <v>46089</v>
      </c>
      <c r="H569" s="29">
        <v>207</v>
      </c>
      <c r="I569" s="30">
        <v>217</v>
      </c>
      <c r="J569" s="21"/>
      <c r="K569" s="31">
        <v>46090</v>
      </c>
      <c r="L569" s="29"/>
      <c r="M569" s="29"/>
      <c r="N569" s="69">
        <v>46090</v>
      </c>
      <c r="O569" s="70"/>
      <c r="P569" s="70"/>
      <c r="Q569" s="71"/>
      <c r="R569" s="71" t="str">
        <f>IF(Q569,Q569-K569,"")</f>
        <v/>
      </c>
      <c r="S569" s="71" t="str">
        <f>IF(R569="","",IF(R569&lt;=4,"Excellent",IF(R569&lt;=8,"Good",IF(R569&lt;=15,"Average",IF(R569&lt;=30,"Poor",IF(R569&gt;=30,"Bad"))))))</f>
        <v/>
      </c>
      <c r="T569" s="68" t="str">
        <f ca="1">IF(U569="","",IF(U569&lt;=3,"Excellent",IF(U569&lt;=7,"Good",IF(U569&lt;=14,"Average",IF(U569&lt;=30,"Poor",IF(U569&gt;=30,"Bad"))))))</f>
        <v/>
      </c>
      <c r="U569" s="68" t="str">
        <f ca="1">IF(E569="Document", IF(#REF!="", "", TODAY() -#REF!), "")</f>
        <v/>
      </c>
      <c r="V569" s="68"/>
      <c r="W569" s="78" t="s">
        <v>344</v>
      </c>
      <c r="X569" s="78" t="s">
        <v>113</v>
      </c>
      <c r="Y569" s="75"/>
      <c r="Z569" s="75"/>
      <c r="AD569" s="21" t="s">
        <v>35</v>
      </c>
      <c r="AE569" s="19" t="s">
        <v>36</v>
      </c>
    </row>
    <row r="570" spans="1:31" ht="14.4" x14ac:dyDescent="0.3">
      <c r="A570" s="21">
        <v>4636</v>
      </c>
      <c r="B570" s="7" t="s">
        <v>504</v>
      </c>
      <c r="C570" s="8">
        <v>1043</v>
      </c>
      <c r="D570" s="92" t="s">
        <v>202</v>
      </c>
      <c r="E570" s="21" t="s">
        <v>33</v>
      </c>
      <c r="F570" s="10">
        <v>45840</v>
      </c>
      <c r="G570" s="10">
        <v>45898</v>
      </c>
      <c r="H570" s="22">
        <v>1180</v>
      </c>
      <c r="I570" s="23">
        <v>1196</v>
      </c>
      <c r="J570" s="24"/>
      <c r="K570" s="14">
        <v>45901</v>
      </c>
      <c r="L570" s="22"/>
      <c r="M570" s="22"/>
      <c r="T570" s="82" t="str">
        <f t="shared" ref="T570:T578" ca="1" si="247">IF($U570="","",IF($U570&lt;=3,"Excellent",IF($U570&lt;=7,"Good",IF($U570&lt;=14,"Average",IF($U570&lt;=30,"Poor",IF($U570&gt;=30,"Bad"))))))</f>
        <v/>
      </c>
      <c r="U570" s="82" t="str">
        <f t="shared" ref="U570:U578" ca="1" si="248">IF(E570="Document", IF(G570="", "", TODAY() - G570), "")</f>
        <v/>
      </c>
      <c r="V570" s="82"/>
      <c r="W570" s="83" t="s">
        <v>556</v>
      </c>
      <c r="X570" s="83" t="s">
        <v>164</v>
      </c>
      <c r="Y570" s="28"/>
      <c r="Z570" s="28"/>
      <c r="AA570" s="28"/>
      <c r="AD570" s="21" t="s">
        <v>35</v>
      </c>
      <c r="AE570" s="19" t="s">
        <v>36</v>
      </c>
    </row>
    <row r="571" spans="1:31" ht="14.4" x14ac:dyDescent="0.3">
      <c r="A571" s="21">
        <v>4636</v>
      </c>
      <c r="B571" s="7" t="s">
        <v>504</v>
      </c>
      <c r="C571" s="8">
        <v>1043</v>
      </c>
      <c r="D571" s="92" t="s">
        <v>202</v>
      </c>
      <c r="E571" s="21" t="s">
        <v>33</v>
      </c>
      <c r="F571" s="10">
        <v>45840</v>
      </c>
      <c r="G571" s="10">
        <v>45898</v>
      </c>
      <c r="H571" s="22">
        <v>1180</v>
      </c>
      <c r="I571" s="23">
        <v>1196</v>
      </c>
      <c r="J571" s="24"/>
      <c r="K571" s="14">
        <v>45901</v>
      </c>
      <c r="L571" s="22"/>
      <c r="M571" s="22"/>
      <c r="T571" s="82" t="str">
        <f t="shared" ca="1" si="247"/>
        <v/>
      </c>
      <c r="U571" s="82" t="str">
        <f t="shared" ca="1" si="248"/>
        <v/>
      </c>
      <c r="V571" s="82"/>
      <c r="W571" s="83" t="s">
        <v>556</v>
      </c>
      <c r="X571" s="83" t="s">
        <v>164</v>
      </c>
      <c r="Y571" s="28"/>
      <c r="Z571" s="28"/>
      <c r="AA571" s="28"/>
      <c r="AD571" s="21" t="s">
        <v>35</v>
      </c>
      <c r="AE571" s="19" t="s">
        <v>36</v>
      </c>
    </row>
    <row r="572" spans="1:31" ht="14.4" x14ac:dyDescent="0.3">
      <c r="A572" s="21">
        <v>4741</v>
      </c>
      <c r="B572" s="7" t="s">
        <v>504</v>
      </c>
      <c r="C572" s="8">
        <v>1044</v>
      </c>
      <c r="D572" s="92" t="s">
        <v>202</v>
      </c>
      <c r="E572" s="21" t="s">
        <v>33</v>
      </c>
      <c r="F572" s="10">
        <v>45862</v>
      </c>
      <c r="G572" s="10">
        <v>45940</v>
      </c>
      <c r="H572" s="22">
        <v>1181</v>
      </c>
      <c r="I572" s="23">
        <v>1181</v>
      </c>
      <c r="J572" s="24"/>
      <c r="K572" s="14">
        <v>45943</v>
      </c>
      <c r="L572" s="22"/>
      <c r="M572" s="22"/>
      <c r="T572" s="82" t="str">
        <f t="shared" ca="1" si="247"/>
        <v/>
      </c>
      <c r="U572" s="82" t="str">
        <f t="shared" ca="1" si="248"/>
        <v/>
      </c>
      <c r="V572" s="75">
        <f t="shared" ref="V572:V573" si="249">1</f>
        <v>1</v>
      </c>
      <c r="W572" s="83" t="s">
        <v>161</v>
      </c>
      <c r="X572" s="83" t="s">
        <v>44</v>
      </c>
      <c r="Y572" s="28"/>
      <c r="Z572" s="28"/>
      <c r="AA572" s="28"/>
      <c r="AD572" s="21" t="s">
        <v>35</v>
      </c>
      <c r="AE572" s="19" t="s">
        <v>36</v>
      </c>
    </row>
    <row r="573" spans="1:31" ht="14.4" x14ac:dyDescent="0.3">
      <c r="A573" s="21">
        <v>4741</v>
      </c>
      <c r="B573" s="7" t="s">
        <v>504</v>
      </c>
      <c r="C573" s="8">
        <v>1044</v>
      </c>
      <c r="D573" s="92" t="s">
        <v>202</v>
      </c>
      <c r="E573" s="21" t="s">
        <v>33</v>
      </c>
      <c r="F573" s="10">
        <v>45862</v>
      </c>
      <c r="G573" s="10">
        <v>45940</v>
      </c>
      <c r="H573" s="22">
        <v>1181</v>
      </c>
      <c r="I573" s="23">
        <v>1181</v>
      </c>
      <c r="J573" s="24"/>
      <c r="K573" s="14">
        <v>45943</v>
      </c>
      <c r="L573" s="22"/>
      <c r="M573" s="22"/>
      <c r="T573" s="82" t="str">
        <f t="shared" ca="1" si="247"/>
        <v/>
      </c>
      <c r="U573" s="82" t="str">
        <f t="shared" ca="1" si="248"/>
        <v/>
      </c>
      <c r="V573" s="75">
        <f t="shared" si="249"/>
        <v>1</v>
      </c>
      <c r="W573" s="83" t="s">
        <v>161</v>
      </c>
      <c r="X573" s="83" t="s">
        <v>44</v>
      </c>
      <c r="Y573" s="28"/>
      <c r="Z573" s="28"/>
      <c r="AA573" s="28"/>
      <c r="AD573" s="21" t="s">
        <v>35</v>
      </c>
      <c r="AE573" s="19" t="s">
        <v>36</v>
      </c>
    </row>
    <row r="574" spans="1:31" ht="14.4" x14ac:dyDescent="0.3">
      <c r="A574" s="21">
        <v>4742</v>
      </c>
      <c r="B574" s="7" t="s">
        <v>201</v>
      </c>
      <c r="C574" s="8">
        <v>1046</v>
      </c>
      <c r="D574" s="92" t="s">
        <v>76</v>
      </c>
      <c r="E574" s="21" t="s">
        <v>33</v>
      </c>
      <c r="F574" s="10">
        <v>45854</v>
      </c>
      <c r="G574" s="10">
        <v>45860</v>
      </c>
      <c r="H574" s="22">
        <v>40</v>
      </c>
      <c r="I574" s="23">
        <v>40</v>
      </c>
      <c r="J574" s="24"/>
      <c r="K574" s="14">
        <v>45863</v>
      </c>
      <c r="L574" s="22"/>
      <c r="M574" s="22"/>
      <c r="T574" s="82" t="str">
        <f t="shared" ca="1" si="247"/>
        <v/>
      </c>
      <c r="U574" s="82" t="str">
        <f t="shared" ca="1" si="248"/>
        <v/>
      </c>
      <c r="V574" s="75">
        <f t="shared" ref="V574:V575" si="250">6</f>
        <v>6</v>
      </c>
      <c r="W574" s="83" t="s">
        <v>203</v>
      </c>
      <c r="X574" s="83" t="s">
        <v>204</v>
      </c>
      <c r="Y574" s="28"/>
      <c r="Z574" s="28"/>
      <c r="AA574" s="28"/>
      <c r="AD574" s="21" t="s">
        <v>35</v>
      </c>
      <c r="AE574" s="19" t="s">
        <v>36</v>
      </c>
    </row>
    <row r="575" spans="1:31" ht="14.4" x14ac:dyDescent="0.3">
      <c r="A575" s="21">
        <v>4743</v>
      </c>
      <c r="B575" s="7" t="s">
        <v>201</v>
      </c>
      <c r="C575" s="8">
        <v>1047</v>
      </c>
      <c r="D575" s="92" t="s">
        <v>76</v>
      </c>
      <c r="E575" s="21" t="s">
        <v>33</v>
      </c>
      <c r="F575" s="10">
        <v>45854</v>
      </c>
      <c r="G575" s="10">
        <v>45860</v>
      </c>
      <c r="H575" s="22">
        <v>40</v>
      </c>
      <c r="I575" s="23">
        <v>40</v>
      </c>
      <c r="J575" s="24"/>
      <c r="K575" s="14">
        <v>45863</v>
      </c>
      <c r="L575" s="22"/>
      <c r="M575" s="22"/>
      <c r="T575" s="82" t="str">
        <f t="shared" ca="1" si="247"/>
        <v/>
      </c>
      <c r="U575" s="82" t="str">
        <f t="shared" ca="1" si="248"/>
        <v/>
      </c>
      <c r="V575" s="75">
        <f t="shared" si="250"/>
        <v>6</v>
      </c>
      <c r="W575" s="83" t="s">
        <v>203</v>
      </c>
      <c r="X575" s="83" t="s">
        <v>204</v>
      </c>
      <c r="Y575" s="28"/>
      <c r="Z575" s="28"/>
      <c r="AA575" s="28"/>
      <c r="AD575" s="21" t="s">
        <v>35</v>
      </c>
      <c r="AE575" s="19" t="s">
        <v>36</v>
      </c>
    </row>
    <row r="576" spans="1:31" ht="14.4" x14ac:dyDescent="0.3">
      <c r="A576" s="21">
        <v>4763</v>
      </c>
      <c r="B576" s="55" t="s">
        <v>504</v>
      </c>
      <c r="C576" s="8">
        <v>1048</v>
      </c>
      <c r="D576" s="92" t="s">
        <v>202</v>
      </c>
      <c r="E576" s="21" t="s">
        <v>33</v>
      </c>
      <c r="F576" s="10">
        <v>45895</v>
      </c>
      <c r="G576" s="10">
        <v>45919</v>
      </c>
      <c r="H576" s="22">
        <v>531</v>
      </c>
      <c r="I576" s="23">
        <v>531</v>
      </c>
      <c r="J576" s="24"/>
      <c r="K576" s="14">
        <v>45922</v>
      </c>
      <c r="L576" s="22"/>
      <c r="M576" s="22"/>
      <c r="T576" s="82" t="str">
        <f t="shared" ca="1" si="247"/>
        <v/>
      </c>
      <c r="U576" s="82" t="str">
        <f t="shared" ca="1" si="248"/>
        <v/>
      </c>
      <c r="V576" s="82"/>
      <c r="W576" s="83" t="s">
        <v>523</v>
      </c>
      <c r="X576" s="83" t="s">
        <v>102</v>
      </c>
      <c r="Y576" s="28"/>
      <c r="Z576" s="28"/>
      <c r="AA576" s="28"/>
      <c r="AD576" s="21" t="s">
        <v>35</v>
      </c>
      <c r="AE576" s="19" t="s">
        <v>36</v>
      </c>
    </row>
    <row r="577" spans="1:31" ht="14.4" x14ac:dyDescent="0.3">
      <c r="A577" s="21">
        <v>4763</v>
      </c>
      <c r="B577" s="55" t="s">
        <v>504</v>
      </c>
      <c r="C577" s="8">
        <v>1048</v>
      </c>
      <c r="D577" s="92" t="s">
        <v>202</v>
      </c>
      <c r="E577" s="21" t="s">
        <v>33</v>
      </c>
      <c r="F577" s="10">
        <v>45895</v>
      </c>
      <c r="G577" s="10">
        <v>45919</v>
      </c>
      <c r="H577" s="22">
        <v>531</v>
      </c>
      <c r="I577" s="23">
        <v>531</v>
      </c>
      <c r="J577" s="24"/>
      <c r="K577" s="14">
        <v>45922</v>
      </c>
      <c r="L577" s="22"/>
      <c r="M577" s="22"/>
      <c r="T577" s="82" t="str">
        <f t="shared" ca="1" si="247"/>
        <v/>
      </c>
      <c r="U577" s="82" t="str">
        <f t="shared" ca="1" si="248"/>
        <v/>
      </c>
      <c r="V577" s="82"/>
      <c r="W577" s="83" t="s">
        <v>523</v>
      </c>
      <c r="X577" s="83" t="s">
        <v>102</v>
      </c>
      <c r="Y577" s="28"/>
      <c r="Z577" s="28"/>
      <c r="AA577" s="28"/>
      <c r="AD577" s="21" t="s">
        <v>35</v>
      </c>
      <c r="AE577" s="19" t="s">
        <v>36</v>
      </c>
    </row>
    <row r="578" spans="1:31" ht="14.4" x14ac:dyDescent="0.3">
      <c r="A578" s="21">
        <v>4980</v>
      </c>
      <c r="B578" s="37" t="s">
        <v>557</v>
      </c>
      <c r="C578" s="8">
        <v>1048</v>
      </c>
      <c r="D578" s="92" t="s">
        <v>76</v>
      </c>
      <c r="E578" s="21" t="s">
        <v>46</v>
      </c>
      <c r="F578" s="38">
        <v>46014</v>
      </c>
      <c r="G578" s="38">
        <v>46015</v>
      </c>
      <c r="H578" s="25"/>
      <c r="I578" s="39"/>
      <c r="J578" s="40"/>
      <c r="K578" s="41"/>
      <c r="L578" s="25"/>
      <c r="M578" s="25"/>
      <c r="T578" s="81" t="str">
        <f t="shared" ca="1" si="247"/>
        <v>Bad</v>
      </c>
      <c r="U578" s="75">
        <f t="shared" ca="1" si="248"/>
        <v>120</v>
      </c>
      <c r="V578" s="82"/>
      <c r="W578" s="82"/>
      <c r="X578" s="82"/>
      <c r="Y578" s="28"/>
      <c r="Z578" s="28"/>
      <c r="AA578" s="28"/>
      <c r="AD578" s="21" t="s">
        <v>35</v>
      </c>
      <c r="AE578" s="19" t="s">
        <v>36</v>
      </c>
    </row>
    <row r="579" spans="1:31" ht="14.4" x14ac:dyDescent="0.3">
      <c r="A579" s="8">
        <v>4998</v>
      </c>
      <c r="B579" s="43" t="s">
        <v>558</v>
      </c>
      <c r="C579" s="8">
        <v>1049</v>
      </c>
      <c r="D579" s="95" t="s">
        <v>76</v>
      </c>
      <c r="E579" s="62" t="s">
        <v>33</v>
      </c>
      <c r="F579" s="45">
        <v>46037</v>
      </c>
      <c r="G579" s="45">
        <v>46039</v>
      </c>
      <c r="H579" s="46">
        <v>27</v>
      </c>
      <c r="I579" s="47">
        <v>27</v>
      </c>
      <c r="J579" s="8"/>
      <c r="K579" s="48">
        <v>46066</v>
      </c>
      <c r="L579" s="46"/>
      <c r="M579" s="46"/>
      <c r="N579" s="91">
        <v>46066</v>
      </c>
      <c r="O579" s="87"/>
      <c r="P579" s="87"/>
      <c r="Q579" s="88"/>
      <c r="R579" s="88" t="str">
        <f>IF(Q579,Q579-K579,"")</f>
        <v/>
      </c>
      <c r="S579" s="88" t="str">
        <f>IF(R579="","",IF(R579&lt;=4,"Excellent",IF(R579&lt;=8,"Good",IF(R579&lt;=15,"Average",IF(R579&lt;=30,"Poor",IF(R579&gt;=30,"Bad"))))))</f>
        <v/>
      </c>
      <c r="T579" s="72" t="str">
        <f ca="1">IF(U579="","",IF(U579&lt;=3,"Excellent",IF(U579&lt;=7,"Good",IF(U579&lt;=14,"Average",IF(U579&lt;=30,"Poor",IF(U579&gt;=30,"Bad"))))))</f>
        <v/>
      </c>
      <c r="U579" s="73" t="str">
        <f ca="1">IF(E579="Document", IF(#REF!="", "", TODAY() -#REF!), "")</f>
        <v/>
      </c>
      <c r="V579" s="73"/>
      <c r="W579" s="74" t="s">
        <v>208</v>
      </c>
      <c r="X579" s="74" t="s">
        <v>437</v>
      </c>
      <c r="Y579" s="89"/>
      <c r="Z579" s="89"/>
      <c r="AD579" s="8" t="s">
        <v>35</v>
      </c>
      <c r="AE579" s="19" t="s">
        <v>36</v>
      </c>
    </row>
    <row r="580" spans="1:31" ht="14.4" x14ac:dyDescent="0.3">
      <c r="A580" s="21">
        <v>4785</v>
      </c>
      <c r="B580" s="55" t="s">
        <v>504</v>
      </c>
      <c r="C580" s="8">
        <v>1049</v>
      </c>
      <c r="D580" s="92" t="s">
        <v>202</v>
      </c>
      <c r="E580" s="21" t="s">
        <v>33</v>
      </c>
      <c r="F580" s="10">
        <v>45888</v>
      </c>
      <c r="G580" s="10">
        <v>45960</v>
      </c>
      <c r="H580" s="22">
        <v>1031</v>
      </c>
      <c r="I580" s="23">
        <v>1065</v>
      </c>
      <c r="J580" s="24"/>
      <c r="K580" s="14">
        <v>45961</v>
      </c>
      <c r="L580" s="22"/>
      <c r="M580" s="22"/>
      <c r="T580" s="82" t="str">
        <f t="shared" ref="T580:T581" ca="1" si="251">IF($U580="","",IF($U580&lt;=3,"Excellent",IF($U580&lt;=7,"Good",IF($U580&lt;=14,"Average",IF($U580&lt;=30,"Poor",IF($U580&gt;=30,"Bad"))))))</f>
        <v/>
      </c>
      <c r="U580" s="82" t="str">
        <f t="shared" ref="U580:U582" ca="1" si="252">IF(E580="Document", IF(G580="", "", TODAY() - G580), "")</f>
        <v/>
      </c>
      <c r="V580" s="82"/>
      <c r="W580" s="83" t="s">
        <v>559</v>
      </c>
      <c r="X580" s="83" t="s">
        <v>560</v>
      </c>
      <c r="Y580" s="28"/>
      <c r="Z580" s="28"/>
      <c r="AA580" s="28"/>
      <c r="AD580" s="21" t="s">
        <v>35</v>
      </c>
      <c r="AE580" s="19" t="s">
        <v>36</v>
      </c>
    </row>
    <row r="581" spans="1:31" ht="14.4" x14ac:dyDescent="0.3">
      <c r="A581" s="21">
        <v>4785</v>
      </c>
      <c r="B581" s="55" t="s">
        <v>504</v>
      </c>
      <c r="C581" s="8">
        <v>1049</v>
      </c>
      <c r="D581" s="92" t="s">
        <v>202</v>
      </c>
      <c r="E581" s="21" t="s">
        <v>33</v>
      </c>
      <c r="F581" s="10">
        <v>45888</v>
      </c>
      <c r="G581" s="10">
        <v>45960</v>
      </c>
      <c r="H581" s="22">
        <v>1031</v>
      </c>
      <c r="I581" s="23">
        <v>1065</v>
      </c>
      <c r="J581" s="24"/>
      <c r="K581" s="14">
        <v>45961</v>
      </c>
      <c r="L581" s="22"/>
      <c r="M581" s="22"/>
      <c r="T581" s="82" t="str">
        <f t="shared" ca="1" si="251"/>
        <v/>
      </c>
      <c r="U581" s="82" t="str">
        <f t="shared" ca="1" si="252"/>
        <v/>
      </c>
      <c r="V581" s="82"/>
      <c r="W581" s="83" t="s">
        <v>559</v>
      </c>
      <c r="X581" s="83" t="s">
        <v>560</v>
      </c>
      <c r="Y581" s="28"/>
      <c r="Z581" s="28"/>
      <c r="AA581" s="28"/>
      <c r="AD581" s="21" t="s">
        <v>35</v>
      </c>
      <c r="AE581" s="19" t="s">
        <v>36</v>
      </c>
    </row>
    <row r="582" spans="1:31" ht="14.4" x14ac:dyDescent="0.3">
      <c r="A582" s="8">
        <v>5006</v>
      </c>
      <c r="B582" s="43" t="s">
        <v>561</v>
      </c>
      <c r="C582" s="8">
        <v>1050</v>
      </c>
      <c r="D582" s="95" t="s">
        <v>484</v>
      </c>
      <c r="E582" s="8" t="s">
        <v>46</v>
      </c>
      <c r="F582" s="45">
        <v>46036</v>
      </c>
      <c r="G582" s="45">
        <v>46036</v>
      </c>
      <c r="H582" s="46"/>
      <c r="I582" s="47"/>
      <c r="J582" s="8"/>
      <c r="K582" s="48"/>
      <c r="L582" s="46"/>
      <c r="M582" s="46"/>
      <c r="N582" s="91"/>
      <c r="O582" s="87"/>
      <c r="P582" s="87"/>
      <c r="Q582" s="88"/>
      <c r="R582" s="88" t="str">
        <f>IF(Q582,Q582-K582,"")</f>
        <v/>
      </c>
      <c r="S582" s="88" t="str">
        <f>IF(R582="","",IF(R582&lt;=4,"Excellent",IF(R582&lt;=8,"Good",IF(R582&lt;=15,"Average",IF(R582&lt;=30,"Poor",IF(R582&gt;=30,"Bad"))))))</f>
        <v/>
      </c>
      <c r="T582" s="72" t="str">
        <f ca="1">IF(U582="","",IF(U582&lt;=3,"Excellent",IF(U582&lt;=7,"Good",IF(U582&lt;=14,"Average",IF(U582&lt;=30,"Poor",IF(U582&gt;=30,"Bad"))))))</f>
        <v>Bad</v>
      </c>
      <c r="U582" s="21">
        <f t="shared" ca="1" si="252"/>
        <v>99</v>
      </c>
      <c r="V582" s="73">
        <f>40</f>
        <v>40</v>
      </c>
      <c r="W582" s="74"/>
      <c r="X582" s="74"/>
      <c r="Y582" s="89"/>
      <c r="Z582" s="89"/>
      <c r="AD582" s="8" t="s">
        <v>35</v>
      </c>
      <c r="AE582" s="19" t="s">
        <v>36</v>
      </c>
    </row>
    <row r="583" spans="1:31" ht="14.4" x14ac:dyDescent="0.3">
      <c r="A583" s="21">
        <v>4774</v>
      </c>
      <c r="B583" s="7" t="s">
        <v>562</v>
      </c>
      <c r="C583" s="8">
        <v>1050</v>
      </c>
      <c r="D583" s="92" t="s">
        <v>202</v>
      </c>
      <c r="E583" s="21" t="s">
        <v>33</v>
      </c>
      <c r="F583" s="10">
        <v>45873</v>
      </c>
      <c r="G583" s="10">
        <v>45882</v>
      </c>
      <c r="H583" s="22">
        <v>559</v>
      </c>
      <c r="I583" s="23">
        <v>571</v>
      </c>
      <c r="J583" s="24"/>
      <c r="K583" s="14">
        <v>45883</v>
      </c>
      <c r="L583" s="22"/>
      <c r="M583" s="22"/>
      <c r="T583" s="82" t="str">
        <f t="shared" ref="T583:T592" ca="1" si="253">IF($U583="","",IF($U583&lt;=3,"Excellent",IF($U583&lt;=7,"Good",IF($U583&lt;=14,"Average",IF($U583&lt;=30,"Poor",IF($U583&gt;=30,"Bad"))))))</f>
        <v/>
      </c>
      <c r="U583" s="82" t="str">
        <f t="shared" ref="U583:U592" ca="1" si="254">IF(E583="Document", IF(G583="", "", TODAY() - G583), "")</f>
        <v/>
      </c>
      <c r="V583" s="82"/>
      <c r="W583" s="83" t="s">
        <v>100</v>
      </c>
      <c r="X583" s="83" t="s">
        <v>123</v>
      </c>
      <c r="Y583" s="28"/>
      <c r="Z583" s="28"/>
      <c r="AA583" s="28"/>
      <c r="AD583" s="21" t="s">
        <v>35</v>
      </c>
      <c r="AE583" s="19" t="s">
        <v>36</v>
      </c>
    </row>
    <row r="584" spans="1:31" ht="14.4" x14ac:dyDescent="0.3">
      <c r="A584" s="21">
        <v>4814</v>
      </c>
      <c r="B584" s="55" t="s">
        <v>563</v>
      </c>
      <c r="C584" s="8">
        <v>1050</v>
      </c>
      <c r="D584" s="92" t="s">
        <v>32</v>
      </c>
      <c r="E584" s="21" t="s">
        <v>33</v>
      </c>
      <c r="F584" s="10">
        <v>45903</v>
      </c>
      <c r="G584" s="10">
        <v>45903</v>
      </c>
      <c r="H584" s="22">
        <v>65</v>
      </c>
      <c r="I584" s="23">
        <v>65</v>
      </c>
      <c r="J584" s="24"/>
      <c r="K584" s="14">
        <v>45904</v>
      </c>
      <c r="L584" s="22"/>
      <c r="M584" s="22"/>
      <c r="T584" s="82" t="str">
        <f t="shared" ca="1" si="253"/>
        <v/>
      </c>
      <c r="U584" s="82" t="str">
        <f t="shared" ca="1" si="254"/>
        <v/>
      </c>
      <c r="V584" s="82"/>
      <c r="W584" s="83" t="s">
        <v>564</v>
      </c>
      <c r="X584" s="83" t="s">
        <v>177</v>
      </c>
      <c r="Y584" s="28"/>
      <c r="Z584" s="28"/>
      <c r="AA584" s="28"/>
      <c r="AD584" s="21" t="s">
        <v>35</v>
      </c>
      <c r="AE584" s="19" t="s">
        <v>36</v>
      </c>
    </row>
    <row r="585" spans="1:31" ht="14.4" x14ac:dyDescent="0.3">
      <c r="A585" s="21">
        <v>4852</v>
      </c>
      <c r="B585" s="37" t="s">
        <v>103</v>
      </c>
      <c r="C585" s="8">
        <v>1050</v>
      </c>
      <c r="D585" s="92" t="s">
        <v>32</v>
      </c>
      <c r="E585" s="21" t="s">
        <v>33</v>
      </c>
      <c r="F585" s="66">
        <v>45933</v>
      </c>
      <c r="G585" s="66">
        <v>45933</v>
      </c>
      <c r="H585" s="22">
        <v>10</v>
      </c>
      <c r="I585" s="23">
        <v>20</v>
      </c>
      <c r="J585" s="24"/>
      <c r="K585" s="14">
        <v>45936</v>
      </c>
      <c r="L585" s="22"/>
      <c r="M585" s="22"/>
      <c r="T585" s="82" t="str">
        <f t="shared" ca="1" si="253"/>
        <v/>
      </c>
      <c r="U585" s="82" t="str">
        <f t="shared" ca="1" si="254"/>
        <v/>
      </c>
      <c r="V585" s="82"/>
      <c r="W585" s="83" t="s">
        <v>423</v>
      </c>
      <c r="X585" s="83" t="s">
        <v>424</v>
      </c>
      <c r="Y585" s="28"/>
      <c r="Z585" s="28"/>
      <c r="AA585" s="28"/>
      <c r="AD585" s="21" t="s">
        <v>35</v>
      </c>
      <c r="AE585" s="19" t="s">
        <v>36</v>
      </c>
    </row>
    <row r="586" spans="1:31" ht="14.4" x14ac:dyDescent="0.3">
      <c r="A586" s="21">
        <v>4936</v>
      </c>
      <c r="B586" s="37" t="s">
        <v>565</v>
      </c>
      <c r="C586" s="8">
        <v>1050</v>
      </c>
      <c r="D586" s="92" t="s">
        <v>484</v>
      </c>
      <c r="E586" s="6" t="s">
        <v>33</v>
      </c>
      <c r="F586" s="38">
        <v>45994</v>
      </c>
      <c r="G586" s="38">
        <v>45994</v>
      </c>
      <c r="H586" s="22">
        <v>20</v>
      </c>
      <c r="I586" s="23">
        <v>40</v>
      </c>
      <c r="J586" s="24"/>
      <c r="K586" s="14">
        <v>45994</v>
      </c>
      <c r="L586" s="22"/>
      <c r="M586" s="22"/>
      <c r="T586" s="82" t="str">
        <f t="shared" ca="1" si="253"/>
        <v/>
      </c>
      <c r="U586" s="82" t="str">
        <f t="shared" ca="1" si="254"/>
        <v/>
      </c>
      <c r="V586" s="82"/>
      <c r="W586" s="83" t="s">
        <v>187</v>
      </c>
      <c r="X586" s="83" t="s">
        <v>87</v>
      </c>
      <c r="Y586" s="28"/>
      <c r="Z586" s="28"/>
      <c r="AA586" s="28"/>
      <c r="AD586" s="21" t="s">
        <v>35</v>
      </c>
      <c r="AE586" s="19" t="s">
        <v>36</v>
      </c>
    </row>
    <row r="587" spans="1:31" ht="14.4" x14ac:dyDescent="0.3">
      <c r="A587" s="21">
        <v>4834</v>
      </c>
      <c r="B587" s="7" t="s">
        <v>504</v>
      </c>
      <c r="C587" s="8">
        <v>1051</v>
      </c>
      <c r="D587" s="92" t="s">
        <v>202</v>
      </c>
      <c r="E587" s="21" t="s">
        <v>33</v>
      </c>
      <c r="F587" s="10">
        <v>45922</v>
      </c>
      <c r="G587" s="64">
        <v>45959</v>
      </c>
      <c r="H587" s="22">
        <v>809</v>
      </c>
      <c r="I587" s="23">
        <v>843</v>
      </c>
      <c r="J587" s="24"/>
      <c r="K587" s="85">
        <v>45960</v>
      </c>
      <c r="L587" s="22"/>
      <c r="M587" s="22"/>
      <c r="T587" s="82" t="str">
        <f t="shared" ca="1" si="253"/>
        <v/>
      </c>
      <c r="U587" s="82" t="str">
        <f t="shared" ca="1" si="254"/>
        <v/>
      </c>
      <c r="V587" s="82"/>
      <c r="W587" s="83" t="s">
        <v>548</v>
      </c>
      <c r="X587" s="83" t="s">
        <v>187</v>
      </c>
      <c r="Y587" s="28"/>
      <c r="Z587" s="28"/>
      <c r="AA587" s="28"/>
      <c r="AD587" s="21" t="s">
        <v>35</v>
      </c>
      <c r="AE587" s="19" t="s">
        <v>36</v>
      </c>
    </row>
    <row r="588" spans="1:31" ht="14.4" x14ac:dyDescent="0.3">
      <c r="A588" s="21">
        <v>4834</v>
      </c>
      <c r="B588" s="7" t="s">
        <v>504</v>
      </c>
      <c r="C588" s="8">
        <v>1051</v>
      </c>
      <c r="D588" s="92" t="s">
        <v>202</v>
      </c>
      <c r="E588" s="21" t="s">
        <v>33</v>
      </c>
      <c r="F588" s="10">
        <v>45922</v>
      </c>
      <c r="G588" s="10">
        <v>45928</v>
      </c>
      <c r="H588" s="22">
        <v>809</v>
      </c>
      <c r="I588" s="23">
        <v>843</v>
      </c>
      <c r="J588" s="24"/>
      <c r="K588" s="14">
        <v>45929</v>
      </c>
      <c r="L588" s="22"/>
      <c r="M588" s="22"/>
      <c r="T588" s="82" t="str">
        <f t="shared" ca="1" si="253"/>
        <v/>
      </c>
      <c r="U588" s="82" t="str">
        <f t="shared" ca="1" si="254"/>
        <v/>
      </c>
      <c r="V588" s="82"/>
      <c r="W588" s="83" t="s">
        <v>548</v>
      </c>
      <c r="X588" s="83" t="s">
        <v>187</v>
      </c>
      <c r="Y588" s="28"/>
      <c r="Z588" s="28"/>
      <c r="AA588" s="28"/>
      <c r="AD588" s="21" t="s">
        <v>35</v>
      </c>
      <c r="AE588" s="19" t="s">
        <v>36</v>
      </c>
    </row>
    <row r="589" spans="1:31" ht="14.4" x14ac:dyDescent="0.3">
      <c r="A589" s="21">
        <v>4834</v>
      </c>
      <c r="B589" s="7" t="s">
        <v>504</v>
      </c>
      <c r="C589" s="8">
        <v>1051</v>
      </c>
      <c r="D589" s="92" t="s">
        <v>202</v>
      </c>
      <c r="E589" s="21" t="s">
        <v>33</v>
      </c>
      <c r="F589" s="10">
        <v>45922</v>
      </c>
      <c r="G589" s="64">
        <v>45959</v>
      </c>
      <c r="H589" s="22">
        <v>809</v>
      </c>
      <c r="I589" s="23">
        <v>843</v>
      </c>
      <c r="J589" s="24"/>
      <c r="K589" s="85">
        <v>45960</v>
      </c>
      <c r="L589" s="22"/>
      <c r="M589" s="22"/>
      <c r="T589" s="82" t="str">
        <f t="shared" ca="1" si="253"/>
        <v/>
      </c>
      <c r="U589" s="82" t="str">
        <f t="shared" ca="1" si="254"/>
        <v/>
      </c>
      <c r="V589" s="82"/>
      <c r="W589" s="83" t="s">
        <v>548</v>
      </c>
      <c r="X589" s="83" t="s">
        <v>187</v>
      </c>
      <c r="Y589" s="28"/>
      <c r="Z589" s="28"/>
      <c r="AA589" s="28"/>
      <c r="AD589" s="21" t="s">
        <v>35</v>
      </c>
      <c r="AE589" s="19" t="s">
        <v>36</v>
      </c>
    </row>
    <row r="590" spans="1:31" ht="14.4" x14ac:dyDescent="0.3">
      <c r="A590" s="21">
        <v>4872</v>
      </c>
      <c r="B590" s="37" t="s">
        <v>504</v>
      </c>
      <c r="C590" s="8">
        <v>1053</v>
      </c>
      <c r="D590" s="92" t="s">
        <v>202</v>
      </c>
      <c r="E590" s="6" t="s">
        <v>33</v>
      </c>
      <c r="F590" s="38">
        <v>45995</v>
      </c>
      <c r="G590" s="38">
        <v>46065</v>
      </c>
      <c r="H590" s="22">
        <v>1245</v>
      </c>
      <c r="I590" s="23">
        <v>1245</v>
      </c>
      <c r="J590" s="24"/>
      <c r="K590" s="14">
        <v>46069</v>
      </c>
      <c r="L590" s="22"/>
      <c r="M590" s="22"/>
      <c r="T590" s="82" t="str">
        <f t="shared" ca="1" si="253"/>
        <v/>
      </c>
      <c r="U590" s="82" t="str">
        <f t="shared" ca="1" si="254"/>
        <v/>
      </c>
      <c r="V590" s="82"/>
      <c r="W590" s="83" t="s">
        <v>267</v>
      </c>
      <c r="X590" s="83" t="s">
        <v>72</v>
      </c>
      <c r="Y590" s="28"/>
      <c r="Z590" s="28"/>
      <c r="AA590" s="28"/>
      <c r="AD590" s="21" t="s">
        <v>35</v>
      </c>
      <c r="AE590" s="19" t="s">
        <v>36</v>
      </c>
    </row>
    <row r="591" spans="1:31" ht="14.4" x14ac:dyDescent="0.3">
      <c r="A591" s="21">
        <v>4872</v>
      </c>
      <c r="B591" s="37" t="s">
        <v>504</v>
      </c>
      <c r="C591" s="8">
        <v>1053</v>
      </c>
      <c r="D591" s="92" t="s">
        <v>202</v>
      </c>
      <c r="E591" s="6" t="s">
        <v>33</v>
      </c>
      <c r="F591" s="38">
        <v>45995</v>
      </c>
      <c r="G591" s="38">
        <v>46065</v>
      </c>
      <c r="H591" s="22">
        <v>1245</v>
      </c>
      <c r="I591" s="23">
        <v>1245</v>
      </c>
      <c r="J591" s="24"/>
      <c r="K591" s="14">
        <v>46069</v>
      </c>
      <c r="L591" s="22"/>
      <c r="M591" s="22"/>
      <c r="T591" s="82" t="str">
        <f t="shared" ca="1" si="253"/>
        <v/>
      </c>
      <c r="U591" s="82" t="str">
        <f t="shared" ca="1" si="254"/>
        <v/>
      </c>
      <c r="V591" s="82"/>
      <c r="W591" s="83" t="s">
        <v>267</v>
      </c>
      <c r="X591" s="83" t="s">
        <v>72</v>
      </c>
      <c r="Y591" s="28"/>
      <c r="Z591" s="28"/>
      <c r="AA591" s="28"/>
      <c r="AD591" s="21" t="s">
        <v>35</v>
      </c>
      <c r="AE591" s="19" t="s">
        <v>36</v>
      </c>
    </row>
    <row r="592" spans="1:31" ht="14.4" x14ac:dyDescent="0.3">
      <c r="A592" s="21">
        <v>5029</v>
      </c>
      <c r="B592" s="37" t="s">
        <v>566</v>
      </c>
      <c r="C592" s="8">
        <v>1053</v>
      </c>
      <c r="D592" s="92" t="s">
        <v>76</v>
      </c>
      <c r="E592" s="6" t="s">
        <v>33</v>
      </c>
      <c r="F592" s="38">
        <v>46020</v>
      </c>
      <c r="G592" s="38">
        <v>46021</v>
      </c>
      <c r="H592" s="35">
        <v>27</v>
      </c>
      <c r="I592" s="56">
        <v>27</v>
      </c>
      <c r="J592" s="57"/>
      <c r="K592" s="58">
        <v>46044</v>
      </c>
      <c r="L592" s="35"/>
      <c r="M592" s="35"/>
      <c r="T592" s="82" t="str">
        <f t="shared" ca="1" si="253"/>
        <v/>
      </c>
      <c r="U592" s="82" t="str">
        <f t="shared" ca="1" si="254"/>
        <v/>
      </c>
      <c r="V592" s="82"/>
      <c r="W592" s="82" t="s">
        <v>90</v>
      </c>
      <c r="X592" s="82" t="s">
        <v>93</v>
      </c>
      <c r="Y592" s="28"/>
      <c r="Z592" s="28"/>
      <c r="AA592" s="28"/>
      <c r="AD592" s="21" t="s">
        <v>35</v>
      </c>
      <c r="AE592" s="19" t="s">
        <v>36</v>
      </c>
    </row>
    <row r="593" spans="1:31" ht="14.4" x14ac:dyDescent="0.3">
      <c r="A593" s="21">
        <v>4958</v>
      </c>
      <c r="B593" s="26" t="s">
        <v>567</v>
      </c>
      <c r="C593" s="8">
        <v>1055</v>
      </c>
      <c r="D593" s="92" t="s">
        <v>202</v>
      </c>
      <c r="E593" s="59" t="s">
        <v>33</v>
      </c>
      <c r="F593" s="27">
        <v>46059</v>
      </c>
      <c r="G593" s="27">
        <v>46094</v>
      </c>
      <c r="H593" s="29">
        <v>1073</v>
      </c>
      <c r="I593" s="30">
        <v>1157</v>
      </c>
      <c r="J593" s="21"/>
      <c r="K593" s="31">
        <v>46097</v>
      </c>
      <c r="L593" s="29"/>
      <c r="M593" s="29"/>
      <c r="N593" s="69">
        <v>46097</v>
      </c>
      <c r="O593" s="70"/>
      <c r="P593" s="70"/>
      <c r="Q593" s="71"/>
      <c r="R593" s="71" t="str">
        <f t="shared" ref="R593:R595" si="255">IF(Q593,Q593-K593,"")</f>
        <v/>
      </c>
      <c r="S593" s="71" t="str">
        <f t="shared" ref="S593:S595" si="256">IF(R593="","",IF(R593&lt;=4,"Excellent",IF(R593&lt;=8,"Good",IF(R593&lt;=15,"Average",IF(R593&lt;=30,"Poor",IF(R593&gt;=30,"Bad"))))))</f>
        <v/>
      </c>
      <c r="T593" s="68" t="str">
        <f t="shared" ref="T593:T595" ca="1" si="257">IF(U593="","",IF(U593&lt;=3,"Excellent",IF(U593&lt;=7,"Good",IF(U593&lt;=14,"Average",IF(U593&lt;=30,"Poor",IF(U593&gt;=30,"Bad"))))))</f>
        <v/>
      </c>
      <c r="U593" s="68" t="str">
        <f ca="1">IF(E593="Document", IF(#REF!="", "", TODAY() -#REF!), "")</f>
        <v/>
      </c>
      <c r="V593" s="68"/>
      <c r="W593" s="78" t="s">
        <v>568</v>
      </c>
      <c r="X593" s="78" t="s">
        <v>141</v>
      </c>
      <c r="Y593" s="75"/>
      <c r="Z593" s="75"/>
      <c r="AD593" s="21" t="s">
        <v>35</v>
      </c>
      <c r="AE593" s="19" t="s">
        <v>36</v>
      </c>
    </row>
    <row r="594" spans="1:31" ht="14.4" x14ac:dyDescent="0.3">
      <c r="A594" s="21">
        <v>4958</v>
      </c>
      <c r="B594" s="26" t="s">
        <v>567</v>
      </c>
      <c r="C594" s="8">
        <v>1055</v>
      </c>
      <c r="D594" s="92" t="s">
        <v>202</v>
      </c>
      <c r="E594" s="59" t="s">
        <v>33</v>
      </c>
      <c r="F594" s="27">
        <v>46062</v>
      </c>
      <c r="G594" s="27">
        <v>46094</v>
      </c>
      <c r="H594" s="29">
        <v>1073</v>
      </c>
      <c r="I594" s="30">
        <v>1157</v>
      </c>
      <c r="J594" s="21"/>
      <c r="K594" s="31">
        <v>46097</v>
      </c>
      <c r="L594" s="29"/>
      <c r="M594" s="29"/>
      <c r="N594" s="69">
        <v>46097</v>
      </c>
      <c r="O594" s="70"/>
      <c r="P594" s="70"/>
      <c r="Q594" s="71"/>
      <c r="R594" s="71" t="str">
        <f t="shared" si="255"/>
        <v/>
      </c>
      <c r="S594" s="71" t="str">
        <f t="shared" si="256"/>
        <v/>
      </c>
      <c r="T594" s="68" t="str">
        <f t="shared" ca="1" si="257"/>
        <v/>
      </c>
      <c r="U594" s="68" t="str">
        <f ca="1">IF(E594="Document", IF(#REF!="", "", TODAY() -#REF!), "")</f>
        <v/>
      </c>
      <c r="V594" s="68"/>
      <c r="W594" s="78" t="s">
        <v>568</v>
      </c>
      <c r="X594" s="78" t="s">
        <v>141</v>
      </c>
      <c r="Y594" s="75"/>
      <c r="Z594" s="75"/>
      <c r="AD594" s="21" t="s">
        <v>35</v>
      </c>
      <c r="AE594" s="19" t="s">
        <v>36</v>
      </c>
    </row>
    <row r="595" spans="1:31" ht="14.4" x14ac:dyDescent="0.3">
      <c r="A595" s="21">
        <v>4958</v>
      </c>
      <c r="B595" s="26" t="s">
        <v>567</v>
      </c>
      <c r="C595" s="8">
        <v>1055</v>
      </c>
      <c r="D595" s="92" t="s">
        <v>202</v>
      </c>
      <c r="E595" s="59" t="s">
        <v>33</v>
      </c>
      <c r="F595" s="27">
        <v>46072</v>
      </c>
      <c r="G595" s="27">
        <v>46094</v>
      </c>
      <c r="H595" s="29">
        <v>1073</v>
      </c>
      <c r="I595" s="30">
        <v>1157</v>
      </c>
      <c r="J595" s="21"/>
      <c r="K595" s="31">
        <v>46097</v>
      </c>
      <c r="L595" s="29"/>
      <c r="M595" s="29"/>
      <c r="N595" s="69">
        <v>46097</v>
      </c>
      <c r="O595" s="70"/>
      <c r="P595" s="70"/>
      <c r="Q595" s="71"/>
      <c r="R595" s="71" t="str">
        <f t="shared" si="255"/>
        <v/>
      </c>
      <c r="S595" s="71" t="str">
        <f t="shared" si="256"/>
        <v/>
      </c>
      <c r="T595" s="68" t="str">
        <f t="shared" ca="1" si="257"/>
        <v/>
      </c>
      <c r="U595" s="68" t="str">
        <f ca="1">IF(E595="Document", IF(#REF!="", "", TODAY() -#REF!), "")</f>
        <v/>
      </c>
      <c r="V595" s="68"/>
      <c r="W595" s="78" t="s">
        <v>568</v>
      </c>
      <c r="X595" s="78" t="s">
        <v>141</v>
      </c>
      <c r="Y595" s="75"/>
      <c r="Z595" s="75"/>
      <c r="AD595" s="21" t="s">
        <v>35</v>
      </c>
      <c r="AE595" s="19" t="s">
        <v>36</v>
      </c>
    </row>
    <row r="596" spans="1:31" ht="14.4" x14ac:dyDescent="0.3">
      <c r="A596" s="21">
        <v>4958</v>
      </c>
      <c r="B596" s="37" t="s">
        <v>504</v>
      </c>
      <c r="C596" s="8">
        <v>1055</v>
      </c>
      <c r="D596" s="92" t="s">
        <v>202</v>
      </c>
      <c r="E596" s="21" t="s">
        <v>46</v>
      </c>
      <c r="F596" s="38">
        <v>46007</v>
      </c>
      <c r="G596" s="38">
        <v>46021</v>
      </c>
      <c r="H596" s="25"/>
      <c r="I596" s="39"/>
      <c r="J596" s="40"/>
      <c r="K596" s="41"/>
      <c r="L596" s="25"/>
      <c r="M596" s="25"/>
      <c r="T596" s="81" t="str">
        <f ca="1">IF($U596="","",IF($U596&lt;=3,"Excellent",IF($U596&lt;=7,"Good",IF($U596&lt;=14,"Average",IF($U596&lt;=30,"Poor",IF($U596&gt;=30,"Bad"))))))</f>
        <v>Bad</v>
      </c>
      <c r="U596" s="75">
        <f ca="1">IF(E596="Document", IF(G596="", "", TODAY() - G596), "")</f>
        <v>114</v>
      </c>
      <c r="V596" s="82"/>
      <c r="W596" s="82"/>
      <c r="X596" s="82"/>
      <c r="Y596" s="28"/>
      <c r="Z596" s="28"/>
      <c r="AA596" s="28"/>
      <c r="AD596" s="21" t="s">
        <v>35</v>
      </c>
      <c r="AE596" s="19" t="s">
        <v>36</v>
      </c>
    </row>
    <row r="597" spans="1:31" ht="14.4" x14ac:dyDescent="0.3">
      <c r="A597" s="21">
        <v>5065</v>
      </c>
      <c r="B597" s="26" t="s">
        <v>569</v>
      </c>
      <c r="C597" s="8">
        <v>1057</v>
      </c>
      <c r="D597" s="92" t="s">
        <v>57</v>
      </c>
      <c r="E597" s="6" t="s">
        <v>33</v>
      </c>
      <c r="F597" s="27">
        <v>46065</v>
      </c>
      <c r="G597" s="27">
        <v>46065</v>
      </c>
      <c r="H597" s="29">
        <v>67</v>
      </c>
      <c r="I597" s="30">
        <v>122</v>
      </c>
      <c r="J597" s="21"/>
      <c r="K597" s="31">
        <v>46065</v>
      </c>
      <c r="L597" s="29"/>
      <c r="M597" s="29"/>
      <c r="N597" s="69">
        <v>46065</v>
      </c>
      <c r="O597" s="70"/>
      <c r="P597" s="70"/>
      <c r="Q597" s="71"/>
      <c r="R597" s="71" t="str">
        <f>IF(Q597,Q597-K597,"")</f>
        <v/>
      </c>
      <c r="S597" s="71" t="str">
        <f>IF(R597="","",IF(R597&lt;=4,"Excellent",IF(R597&lt;=8,"Good",IF(R597&lt;=15,"Average",IF(R597&lt;=30,"Poor",IF(R597&gt;=30,"Bad"))))))</f>
        <v/>
      </c>
      <c r="T597" s="68" t="str">
        <f ca="1">IF(U597="","",IF(U597&lt;=3,"Excellent",IF(U597&lt;=7,"Good",IF(U597&lt;=14,"Average",IF(U597&lt;=30,"Poor",IF(U597&gt;=30,"Bad"))))))</f>
        <v/>
      </c>
      <c r="U597" s="68" t="str">
        <f ca="1">IF(E597="Document", IF(#REF!="", "", TODAY() -#REF!), "")</f>
        <v/>
      </c>
      <c r="V597" s="68"/>
      <c r="W597" s="78" t="s">
        <v>208</v>
      </c>
      <c r="X597" s="78" t="s">
        <v>437</v>
      </c>
      <c r="Y597" s="75"/>
      <c r="Z597" s="75"/>
      <c r="AD597" s="21" t="s">
        <v>35</v>
      </c>
      <c r="AE597" s="19" t="s">
        <v>36</v>
      </c>
    </row>
    <row r="598" spans="1:31" ht="14.4" x14ac:dyDescent="0.3">
      <c r="A598" s="21">
        <v>4929</v>
      </c>
      <c r="B598" s="37" t="s">
        <v>570</v>
      </c>
      <c r="C598" s="8">
        <v>1057</v>
      </c>
      <c r="D598" s="92" t="s">
        <v>202</v>
      </c>
      <c r="E598" s="21" t="s">
        <v>46</v>
      </c>
      <c r="F598" s="38">
        <v>45988</v>
      </c>
      <c r="G598" s="66">
        <v>46011</v>
      </c>
      <c r="H598" s="25"/>
      <c r="I598" s="39"/>
      <c r="J598" s="40"/>
      <c r="K598" s="41"/>
      <c r="L598" s="25"/>
      <c r="M598" s="25"/>
      <c r="T598" s="81" t="str">
        <f t="shared" ref="T598:T602" ca="1" si="258">IF($U598="","",IF($U598&lt;=3,"Excellent",IF($U598&lt;=7,"Good",IF($U598&lt;=14,"Average",IF($U598&lt;=30,"Poor",IF($U598&gt;=30,"Bad"))))))</f>
        <v>Bad</v>
      </c>
      <c r="U598" s="75">
        <f t="shared" ref="U598:U602" ca="1" si="259">IF(E598="Document", IF(G598="", "", TODAY() - G598), "")</f>
        <v>124</v>
      </c>
      <c r="V598" s="82"/>
      <c r="W598" s="82"/>
      <c r="X598" s="82"/>
      <c r="Y598" s="28"/>
      <c r="Z598" s="28"/>
      <c r="AA598" s="28"/>
      <c r="AD598" s="21" t="s">
        <v>35</v>
      </c>
      <c r="AE598" s="19" t="s">
        <v>36</v>
      </c>
    </row>
    <row r="599" spans="1:31" ht="14.4" x14ac:dyDescent="0.3">
      <c r="A599" s="21">
        <v>4887</v>
      </c>
      <c r="B599" s="37" t="s">
        <v>504</v>
      </c>
      <c r="C599" s="8">
        <v>1058</v>
      </c>
      <c r="D599" s="92" t="s">
        <v>202</v>
      </c>
      <c r="E599" s="6" t="s">
        <v>33</v>
      </c>
      <c r="F599" s="38">
        <v>45992</v>
      </c>
      <c r="G599" s="42">
        <v>46073</v>
      </c>
      <c r="H599" s="22">
        <v>1222</v>
      </c>
      <c r="I599" s="23">
        <v>1283</v>
      </c>
      <c r="J599" s="24"/>
      <c r="K599" s="14">
        <v>46076</v>
      </c>
      <c r="L599" s="22"/>
      <c r="M599" s="22"/>
      <c r="T599" s="82" t="str">
        <f t="shared" ca="1" si="258"/>
        <v/>
      </c>
      <c r="U599" s="82" t="str">
        <f t="shared" ca="1" si="259"/>
        <v/>
      </c>
      <c r="V599" s="82"/>
      <c r="W599" s="83" t="s">
        <v>54</v>
      </c>
      <c r="X599" s="83" t="s">
        <v>72</v>
      </c>
      <c r="Y599" s="28"/>
      <c r="Z599" s="28"/>
      <c r="AA599" s="28"/>
      <c r="AD599" s="21" t="s">
        <v>35</v>
      </c>
      <c r="AE599" s="19" t="s">
        <v>36</v>
      </c>
    </row>
    <row r="600" spans="1:31" ht="14.4" x14ac:dyDescent="0.3">
      <c r="A600" s="21">
        <v>4887</v>
      </c>
      <c r="B600" s="37" t="s">
        <v>504</v>
      </c>
      <c r="C600" s="8">
        <v>1058</v>
      </c>
      <c r="D600" s="92" t="s">
        <v>202</v>
      </c>
      <c r="E600" s="6" t="s">
        <v>33</v>
      </c>
      <c r="F600" s="38">
        <v>45992</v>
      </c>
      <c r="G600" s="42">
        <v>46073</v>
      </c>
      <c r="H600" s="22">
        <v>1222</v>
      </c>
      <c r="I600" s="23">
        <v>1283</v>
      </c>
      <c r="J600" s="24"/>
      <c r="K600" s="14">
        <v>46076</v>
      </c>
      <c r="L600" s="22"/>
      <c r="M600" s="22"/>
      <c r="T600" s="82" t="str">
        <f t="shared" ca="1" si="258"/>
        <v/>
      </c>
      <c r="U600" s="82" t="str">
        <f t="shared" ca="1" si="259"/>
        <v/>
      </c>
      <c r="V600" s="82"/>
      <c r="W600" s="83" t="s">
        <v>54</v>
      </c>
      <c r="X600" s="83" t="s">
        <v>72</v>
      </c>
      <c r="Y600" s="28"/>
      <c r="Z600" s="28"/>
      <c r="AA600" s="28"/>
      <c r="AD600" s="21" t="s">
        <v>35</v>
      </c>
      <c r="AE600" s="19" t="s">
        <v>36</v>
      </c>
    </row>
    <row r="601" spans="1:31" ht="14.4" x14ac:dyDescent="0.3">
      <c r="A601" s="21">
        <v>4966</v>
      </c>
      <c r="B601" s="37" t="s">
        <v>504</v>
      </c>
      <c r="C601" s="8">
        <v>1059</v>
      </c>
      <c r="D601" s="92" t="s">
        <v>202</v>
      </c>
      <c r="E601" s="21" t="s">
        <v>33</v>
      </c>
      <c r="F601" s="38">
        <v>46010</v>
      </c>
      <c r="G601" s="38">
        <v>46020</v>
      </c>
      <c r="H601" s="22">
        <v>239</v>
      </c>
      <c r="I601" s="23">
        <v>273</v>
      </c>
      <c r="J601" s="24"/>
      <c r="K601" s="14">
        <v>46027</v>
      </c>
      <c r="L601" s="22"/>
      <c r="M601" s="22"/>
      <c r="T601" s="82" t="str">
        <f t="shared" ca="1" si="258"/>
        <v/>
      </c>
      <c r="U601" s="82" t="str">
        <f t="shared" ca="1" si="259"/>
        <v/>
      </c>
      <c r="V601" s="82"/>
      <c r="W601" s="83" t="s">
        <v>571</v>
      </c>
      <c r="X601" s="83" t="s">
        <v>125</v>
      </c>
      <c r="Y601" s="28"/>
      <c r="Z601" s="28"/>
      <c r="AA601" s="28"/>
      <c r="AD601" s="21" t="s">
        <v>35</v>
      </c>
      <c r="AE601" s="19" t="s">
        <v>36</v>
      </c>
    </row>
    <row r="602" spans="1:31" ht="14.4" x14ac:dyDescent="0.3">
      <c r="A602" s="21">
        <v>4966</v>
      </c>
      <c r="B602" s="37" t="s">
        <v>504</v>
      </c>
      <c r="C602" s="8">
        <v>1059</v>
      </c>
      <c r="D602" s="92" t="s">
        <v>202</v>
      </c>
      <c r="E602" s="21" t="s">
        <v>33</v>
      </c>
      <c r="F602" s="38">
        <v>46010</v>
      </c>
      <c r="G602" s="38">
        <v>46016</v>
      </c>
      <c r="H602" s="22">
        <v>239</v>
      </c>
      <c r="I602" s="23">
        <v>273</v>
      </c>
      <c r="J602" s="24"/>
      <c r="K602" s="14">
        <v>46027</v>
      </c>
      <c r="L602" s="22"/>
      <c r="M602" s="22"/>
      <c r="T602" s="82" t="str">
        <f t="shared" ca="1" si="258"/>
        <v/>
      </c>
      <c r="U602" s="82" t="str">
        <f t="shared" ca="1" si="259"/>
        <v/>
      </c>
      <c r="V602" s="82"/>
      <c r="W602" s="83" t="s">
        <v>571</v>
      </c>
      <c r="X602" s="83" t="s">
        <v>125</v>
      </c>
      <c r="Y602" s="28"/>
      <c r="Z602" s="28"/>
      <c r="AA602" s="28"/>
      <c r="AD602" s="21" t="s">
        <v>35</v>
      </c>
      <c r="AE602" s="19" t="s">
        <v>36</v>
      </c>
    </row>
    <row r="603" spans="1:31" ht="14.4" x14ac:dyDescent="0.3">
      <c r="A603" s="21">
        <v>4957</v>
      </c>
      <c r="B603" s="26" t="s">
        <v>504</v>
      </c>
      <c r="C603" s="8">
        <v>1060</v>
      </c>
      <c r="D603" s="92" t="s">
        <v>202</v>
      </c>
      <c r="E603" s="59" t="s">
        <v>33</v>
      </c>
      <c r="F603" s="27">
        <v>46062</v>
      </c>
      <c r="G603" s="27">
        <v>46123</v>
      </c>
      <c r="H603" s="29">
        <v>1210</v>
      </c>
      <c r="I603" s="30">
        <v>1218</v>
      </c>
      <c r="J603" s="21"/>
      <c r="K603" s="31">
        <v>46124</v>
      </c>
      <c r="L603" s="29"/>
      <c r="M603" s="29"/>
      <c r="N603" s="69">
        <v>46129</v>
      </c>
      <c r="O603" s="70"/>
      <c r="P603" s="70"/>
      <c r="Q603" s="71"/>
      <c r="R603" s="71" t="str">
        <f t="shared" ref="R603:R605" si="260">IF(Q603,Q603-K603,"")</f>
        <v/>
      </c>
      <c r="S603" s="71" t="str">
        <f t="shared" ref="S603:S605" si="261">IF(R603="","",IF(R603&lt;=4,"Excellent",IF(R603&lt;=8,"Good",IF(R603&lt;=15,"Average",IF(R603&lt;=30,"Poor",IF(R603&gt;=30,"Bad"))))))</f>
        <v/>
      </c>
      <c r="T603" s="68" t="str">
        <f t="shared" ref="T603:T605" ca="1" si="262">IF(U603="","",IF(U603&lt;=3,"Excellent",IF(U603&lt;=7,"Good",IF(U603&lt;=14,"Average",IF(U603&lt;=30,"Poor",IF(U603&gt;=30,"Bad"))))))</f>
        <v/>
      </c>
      <c r="U603" s="68" t="str">
        <f ca="1">IF(E603="Document", IF(#REF!="", "", TODAY() -#REF!), "")</f>
        <v/>
      </c>
      <c r="V603" s="68">
        <f t="shared" ref="V603:V604" si="263">2</f>
        <v>2</v>
      </c>
      <c r="W603" s="78" t="s">
        <v>572</v>
      </c>
      <c r="X603" s="78" t="s">
        <v>573</v>
      </c>
      <c r="Y603" s="75"/>
      <c r="Z603" s="75"/>
      <c r="AD603" s="21" t="s">
        <v>35</v>
      </c>
      <c r="AE603" s="19" t="s">
        <v>36</v>
      </c>
    </row>
    <row r="604" spans="1:31" ht="14.4" x14ac:dyDescent="0.3">
      <c r="A604" s="21">
        <v>4957</v>
      </c>
      <c r="B604" s="26" t="s">
        <v>504</v>
      </c>
      <c r="C604" s="8">
        <v>1060</v>
      </c>
      <c r="D604" s="92" t="s">
        <v>202</v>
      </c>
      <c r="E604" s="59" t="s">
        <v>33</v>
      </c>
      <c r="F604" s="27">
        <v>46062</v>
      </c>
      <c r="G604" s="27">
        <v>46123</v>
      </c>
      <c r="H604" s="29">
        <v>1210</v>
      </c>
      <c r="I604" s="30">
        <v>1218</v>
      </c>
      <c r="J604" s="21"/>
      <c r="K604" s="31">
        <v>46124</v>
      </c>
      <c r="L604" s="29"/>
      <c r="M604" s="29"/>
      <c r="N604" s="69">
        <v>46129</v>
      </c>
      <c r="O604" s="70"/>
      <c r="P604" s="70"/>
      <c r="Q604" s="71"/>
      <c r="R604" s="71" t="str">
        <f t="shared" si="260"/>
        <v/>
      </c>
      <c r="S604" s="71" t="str">
        <f t="shared" si="261"/>
        <v/>
      </c>
      <c r="T604" s="68" t="str">
        <f t="shared" ca="1" si="262"/>
        <v/>
      </c>
      <c r="U604" s="68" t="str">
        <f ca="1">IF(E604="Document", IF(#REF!="", "", TODAY() -#REF!), "")</f>
        <v/>
      </c>
      <c r="V604" s="68">
        <f t="shared" si="263"/>
        <v>2</v>
      </c>
      <c r="W604" s="78" t="s">
        <v>572</v>
      </c>
      <c r="X604" s="78" t="s">
        <v>573</v>
      </c>
      <c r="Y604" s="75"/>
      <c r="Z604" s="75"/>
      <c r="AD604" s="21" t="s">
        <v>35</v>
      </c>
      <c r="AE604" s="19" t="s">
        <v>36</v>
      </c>
    </row>
    <row r="605" spans="1:31" ht="14.4" x14ac:dyDescent="0.3">
      <c r="A605" s="21">
        <v>5039</v>
      </c>
      <c r="B605" s="26" t="s">
        <v>574</v>
      </c>
      <c r="C605" s="8">
        <v>1061</v>
      </c>
      <c r="D605" s="92" t="s">
        <v>32</v>
      </c>
      <c r="E605" s="21" t="s">
        <v>33</v>
      </c>
      <c r="F605" s="27">
        <v>46055</v>
      </c>
      <c r="G605" s="27">
        <v>46059</v>
      </c>
      <c r="H605" s="29">
        <v>177</v>
      </c>
      <c r="I605" s="30">
        <v>217</v>
      </c>
      <c r="J605" s="21"/>
      <c r="K605" s="31">
        <v>46077</v>
      </c>
      <c r="L605" s="29"/>
      <c r="M605" s="29"/>
      <c r="N605" s="69">
        <v>46077</v>
      </c>
      <c r="O605" s="70"/>
      <c r="P605" s="70"/>
      <c r="Q605" s="71"/>
      <c r="R605" s="71" t="str">
        <f t="shared" si="260"/>
        <v/>
      </c>
      <c r="S605" s="71" t="str">
        <f t="shared" si="261"/>
        <v/>
      </c>
      <c r="T605" s="68" t="str">
        <f t="shared" ca="1" si="262"/>
        <v/>
      </c>
      <c r="U605" s="68" t="str">
        <f ca="1">IF(E605="Document", IF(#REF!="", "", TODAY() -#REF!), "")</f>
        <v/>
      </c>
      <c r="V605" s="68">
        <f>25</f>
        <v>25</v>
      </c>
      <c r="W605" s="78" t="s">
        <v>575</v>
      </c>
      <c r="X605" s="78" t="s">
        <v>576</v>
      </c>
      <c r="Y605" s="75"/>
      <c r="Z605" s="75"/>
      <c r="AD605" s="21" t="s">
        <v>35</v>
      </c>
      <c r="AE605" s="19" t="s">
        <v>36</v>
      </c>
    </row>
    <row r="606" spans="1:31" ht="14.4" x14ac:dyDescent="0.3">
      <c r="A606" s="21">
        <v>4983</v>
      </c>
      <c r="B606" s="37" t="s">
        <v>577</v>
      </c>
      <c r="C606" s="8">
        <v>1061</v>
      </c>
      <c r="D606" s="92" t="s">
        <v>202</v>
      </c>
      <c r="E606" s="6" t="s">
        <v>33</v>
      </c>
      <c r="F606" s="38">
        <v>46021</v>
      </c>
      <c r="G606" s="38">
        <v>46045</v>
      </c>
      <c r="H606" s="35">
        <v>704</v>
      </c>
      <c r="I606" s="56">
        <v>738</v>
      </c>
      <c r="J606" s="57"/>
      <c r="K606" s="58">
        <v>46048</v>
      </c>
      <c r="L606" s="35"/>
      <c r="M606" s="35"/>
      <c r="T606" s="82" t="str">
        <f t="shared" ref="T606:T607" ca="1" si="264">IF($U606="","",IF($U606&lt;=3,"Excellent",IF($U606&lt;=7,"Good",IF($U606&lt;=14,"Average",IF($U606&lt;=30,"Poor",IF($U606&gt;=30,"Bad"))))))</f>
        <v/>
      </c>
      <c r="U606" s="82" t="str">
        <f t="shared" ref="U606:U607" ca="1" si="265">IF(E606="Document", IF(G606="", "", TODAY() - G606), "")</f>
        <v/>
      </c>
      <c r="V606" s="82"/>
      <c r="W606" s="82" t="s">
        <v>53</v>
      </c>
      <c r="X606" s="82" t="s">
        <v>72</v>
      </c>
      <c r="Y606" s="28"/>
      <c r="Z606" s="28"/>
      <c r="AA606" s="28"/>
      <c r="AD606" s="21" t="s">
        <v>35</v>
      </c>
      <c r="AE606" s="19" t="s">
        <v>36</v>
      </c>
    </row>
    <row r="607" spans="1:31" ht="14.4" x14ac:dyDescent="0.3">
      <c r="A607" s="21">
        <v>4983</v>
      </c>
      <c r="B607" s="37" t="s">
        <v>577</v>
      </c>
      <c r="C607" s="8">
        <v>1061</v>
      </c>
      <c r="D607" s="92" t="s">
        <v>202</v>
      </c>
      <c r="E607" s="6" t="s">
        <v>33</v>
      </c>
      <c r="F607" s="38">
        <v>46021</v>
      </c>
      <c r="G607" s="38">
        <v>46045</v>
      </c>
      <c r="H607" s="35">
        <v>704</v>
      </c>
      <c r="I607" s="56">
        <v>738</v>
      </c>
      <c r="J607" s="57"/>
      <c r="K607" s="58">
        <v>46048</v>
      </c>
      <c r="L607" s="35"/>
      <c r="M607" s="35"/>
      <c r="T607" s="82" t="str">
        <f t="shared" ca="1" si="264"/>
        <v/>
      </c>
      <c r="U607" s="82" t="str">
        <f t="shared" ca="1" si="265"/>
        <v/>
      </c>
      <c r="V607" s="82"/>
      <c r="W607" s="82" t="s">
        <v>53</v>
      </c>
      <c r="X607" s="82" t="s">
        <v>72</v>
      </c>
      <c r="Y607" s="28"/>
      <c r="Z607" s="28"/>
      <c r="AA607" s="28"/>
      <c r="AD607" s="21" t="s">
        <v>35</v>
      </c>
      <c r="AE607" s="19" t="s">
        <v>36</v>
      </c>
    </row>
    <row r="608" spans="1:31" ht="14.4" x14ac:dyDescent="0.3">
      <c r="A608" s="8">
        <v>4986</v>
      </c>
      <c r="B608" s="43" t="s">
        <v>578</v>
      </c>
      <c r="C608" s="8">
        <v>1064</v>
      </c>
      <c r="D608" s="95" t="s">
        <v>202</v>
      </c>
      <c r="E608" s="8" t="s">
        <v>77</v>
      </c>
      <c r="F608" s="45">
        <v>46041</v>
      </c>
      <c r="G608" s="45">
        <v>46110</v>
      </c>
      <c r="H608" s="46"/>
      <c r="I608" s="47"/>
      <c r="J608" s="8"/>
      <c r="K608" s="48">
        <v>46114</v>
      </c>
      <c r="L608" s="46"/>
      <c r="M608" s="46"/>
      <c r="N608" s="91"/>
      <c r="O608" s="87"/>
      <c r="P608" s="87"/>
      <c r="Q608" s="88"/>
      <c r="R608" s="88" t="str">
        <f t="shared" ref="R608:R611" si="266">IF(Q608,Q608-K608,"")</f>
        <v/>
      </c>
      <c r="S608" s="88" t="str">
        <f t="shared" ref="S608:S611" si="267">IF(R608="","",IF(R608&lt;=4,"Excellent",IF(R608&lt;=8,"Good",IF(R608&lt;=15,"Average",IF(R608&lt;=30,"Poor",IF(R608&gt;=30,"Bad"))))))</f>
        <v/>
      </c>
      <c r="T608" s="72" t="str">
        <f t="shared" ref="T608:T611" ca="1" si="268">IF(U608="","",IF(U608&lt;=3,"Excellent",IF(U608&lt;=7,"Good",IF(U608&lt;=14,"Average",IF(U608&lt;=30,"Poor",IF(U608&gt;=30,"Bad"))))))</f>
        <v/>
      </c>
      <c r="U608" s="73" t="str">
        <f ca="1">IF(E608="Document", IF(#REF!="", "", TODAY() -#REF!), "")</f>
        <v/>
      </c>
      <c r="V608" s="73">
        <f t="shared" ref="V608:V609" si="269">9</f>
        <v>9</v>
      </c>
      <c r="W608" s="74" t="s">
        <v>579</v>
      </c>
      <c r="X608" s="74"/>
      <c r="Y608" s="89"/>
      <c r="Z608" s="89"/>
      <c r="AD608" s="8" t="s">
        <v>35</v>
      </c>
      <c r="AE608" s="19" t="s">
        <v>36</v>
      </c>
    </row>
    <row r="609" spans="1:31" ht="14.4" x14ac:dyDescent="0.3">
      <c r="A609" s="8">
        <v>4986</v>
      </c>
      <c r="B609" s="43" t="s">
        <v>578</v>
      </c>
      <c r="C609" s="8">
        <v>1064</v>
      </c>
      <c r="D609" s="95" t="s">
        <v>202</v>
      </c>
      <c r="E609" s="8" t="s">
        <v>77</v>
      </c>
      <c r="F609" s="45">
        <v>46041</v>
      </c>
      <c r="G609" s="45">
        <v>46110</v>
      </c>
      <c r="H609" s="46"/>
      <c r="I609" s="47"/>
      <c r="J609" s="8"/>
      <c r="K609" s="48">
        <v>46114</v>
      </c>
      <c r="L609" s="46"/>
      <c r="M609" s="46"/>
      <c r="N609" s="91"/>
      <c r="O609" s="87"/>
      <c r="P609" s="87"/>
      <c r="Q609" s="88"/>
      <c r="R609" s="88" t="str">
        <f t="shared" si="266"/>
        <v/>
      </c>
      <c r="S609" s="88" t="str">
        <f t="shared" si="267"/>
        <v/>
      </c>
      <c r="T609" s="72" t="str">
        <f t="shared" ca="1" si="268"/>
        <v/>
      </c>
      <c r="U609" s="73" t="str">
        <f ca="1">IF(E609="Document", IF(#REF!="", "", TODAY() -#REF!), "")</f>
        <v/>
      </c>
      <c r="V609" s="73">
        <f t="shared" si="269"/>
        <v>9</v>
      </c>
      <c r="W609" s="74" t="s">
        <v>579</v>
      </c>
      <c r="X609" s="74"/>
      <c r="Y609" s="89"/>
      <c r="Z609" s="89"/>
      <c r="AD609" s="8" t="s">
        <v>35</v>
      </c>
      <c r="AE609" s="19" t="s">
        <v>36</v>
      </c>
    </row>
    <row r="610" spans="1:31" ht="14.4" x14ac:dyDescent="0.3">
      <c r="A610" s="21">
        <v>5070</v>
      </c>
      <c r="B610" s="26" t="s">
        <v>542</v>
      </c>
      <c r="C610" s="8">
        <v>1067</v>
      </c>
      <c r="D610" s="92" t="s">
        <v>202</v>
      </c>
      <c r="E610" s="59" t="s">
        <v>77</v>
      </c>
      <c r="F610" s="27">
        <v>46066</v>
      </c>
      <c r="G610" s="27">
        <v>46089</v>
      </c>
      <c r="H610" s="29"/>
      <c r="I610" s="30"/>
      <c r="J610" s="21"/>
      <c r="K610" s="31">
        <v>46119</v>
      </c>
      <c r="L610" s="29"/>
      <c r="M610" s="29"/>
      <c r="N610" s="69"/>
      <c r="O610" s="70"/>
      <c r="P610" s="70"/>
      <c r="Q610" s="71"/>
      <c r="R610" s="71" t="str">
        <f t="shared" si="266"/>
        <v/>
      </c>
      <c r="S610" s="71" t="str">
        <f t="shared" si="267"/>
        <v/>
      </c>
      <c r="T610" s="68" t="str">
        <f t="shared" ca="1" si="268"/>
        <v/>
      </c>
      <c r="U610" s="68" t="str">
        <f ca="1">IF(E610="Document", IF(#REF!="", "", TODAY() -#REF!), "")</f>
        <v/>
      </c>
      <c r="V610" s="68">
        <f t="shared" ref="V610:V611" si="270">26</f>
        <v>26</v>
      </c>
      <c r="W610" s="78" t="s">
        <v>579</v>
      </c>
      <c r="X610" s="78"/>
      <c r="Y610" s="75"/>
      <c r="Z610" s="75"/>
      <c r="AD610" s="21" t="s">
        <v>35</v>
      </c>
      <c r="AE610" s="19" t="s">
        <v>36</v>
      </c>
    </row>
    <row r="611" spans="1:31" ht="14.4" x14ac:dyDescent="0.3">
      <c r="A611" s="21">
        <v>5070</v>
      </c>
      <c r="B611" s="26" t="s">
        <v>542</v>
      </c>
      <c r="C611" s="8">
        <v>1067</v>
      </c>
      <c r="D611" s="92" t="s">
        <v>202</v>
      </c>
      <c r="E611" s="59" t="s">
        <v>77</v>
      </c>
      <c r="F611" s="27">
        <v>46066</v>
      </c>
      <c r="G611" s="27">
        <v>46089</v>
      </c>
      <c r="H611" s="29"/>
      <c r="I611" s="30"/>
      <c r="J611" s="21"/>
      <c r="K611" s="31">
        <v>46119</v>
      </c>
      <c r="L611" s="29"/>
      <c r="M611" s="29"/>
      <c r="N611" s="69"/>
      <c r="O611" s="70"/>
      <c r="P611" s="70"/>
      <c r="Q611" s="71"/>
      <c r="R611" s="71" t="str">
        <f t="shared" si="266"/>
        <v/>
      </c>
      <c r="S611" s="71" t="str">
        <f t="shared" si="267"/>
        <v/>
      </c>
      <c r="T611" s="68" t="str">
        <f t="shared" ca="1" si="268"/>
        <v/>
      </c>
      <c r="U611" s="68" t="str">
        <f ca="1">IF(E611="Document", IF(#REF!="", "", TODAY() -#REF!), "")</f>
        <v/>
      </c>
      <c r="V611" s="68">
        <f t="shared" si="270"/>
        <v>26</v>
      </c>
      <c r="W611" s="78" t="s">
        <v>579</v>
      </c>
      <c r="X611" s="78"/>
      <c r="Y611" s="75"/>
      <c r="Z611" s="75"/>
      <c r="AD611" s="21" t="s">
        <v>35</v>
      </c>
      <c r="AE611" s="19" t="s">
        <v>36</v>
      </c>
    </row>
    <row r="612" spans="1:31" ht="14.4" x14ac:dyDescent="0.3">
      <c r="A612" s="6">
        <v>4453</v>
      </c>
      <c r="B612" s="7" t="s">
        <v>41</v>
      </c>
      <c r="C612" s="8">
        <v>616</v>
      </c>
      <c r="D612" s="92" t="s">
        <v>42</v>
      </c>
      <c r="E612" s="6" t="s">
        <v>33</v>
      </c>
      <c r="F612" s="10">
        <v>45677</v>
      </c>
      <c r="G612" s="10">
        <v>45690</v>
      </c>
      <c r="H612" s="11">
        <v>227</v>
      </c>
      <c r="I612" s="12">
        <v>367</v>
      </c>
      <c r="J612" s="13"/>
      <c r="K612" s="36">
        <v>45691</v>
      </c>
      <c r="L612" s="11"/>
      <c r="M612" s="11"/>
      <c r="T612" s="78" t="str">
        <f t="shared" ref="T612:T613" ca="1" si="271">IF($U612="","",IF($U612&lt;=3,"Excellent",IF($U612&lt;=7,"Good",IF($U612&lt;=14,"Average",IF($U612&lt;=30,"Poor",IF($U612&gt;=30,"Bad"))))))</f>
        <v/>
      </c>
      <c r="U612" s="78" t="str">
        <f t="shared" ref="U612:U613" ca="1" si="272">IF(E612="Document", IF(G612="", "", TODAY() - G612), "")</f>
        <v/>
      </c>
      <c r="V612" s="78"/>
      <c r="W612" s="78"/>
      <c r="X612" s="74" t="s">
        <v>34</v>
      </c>
      <c r="Y612" s="18"/>
      <c r="Z612" s="18"/>
      <c r="AA612" s="18"/>
      <c r="AD612" s="6" t="s">
        <v>35</v>
      </c>
      <c r="AE612" s="19" t="s">
        <v>36</v>
      </c>
    </row>
    <row r="613" spans="1:31" ht="14.4" x14ac:dyDescent="0.3">
      <c r="A613" s="6">
        <v>4453</v>
      </c>
      <c r="B613" s="7" t="s">
        <v>41</v>
      </c>
      <c r="C613" s="8">
        <v>616</v>
      </c>
      <c r="D613" s="92" t="s">
        <v>42</v>
      </c>
      <c r="E613" s="6" t="s">
        <v>33</v>
      </c>
      <c r="F613" s="10">
        <v>45677</v>
      </c>
      <c r="G613" s="10">
        <v>45690</v>
      </c>
      <c r="H613" s="11">
        <v>227</v>
      </c>
      <c r="I613" s="12">
        <v>367</v>
      </c>
      <c r="J613" s="13"/>
      <c r="K613" s="36">
        <v>45691</v>
      </c>
      <c r="L613" s="11"/>
      <c r="M613" s="11"/>
      <c r="T613" s="78" t="str">
        <f t="shared" ca="1" si="271"/>
        <v/>
      </c>
      <c r="U613" s="78" t="str">
        <f t="shared" ca="1" si="272"/>
        <v/>
      </c>
      <c r="V613" s="78"/>
      <c r="W613" s="78"/>
      <c r="X613" s="74" t="s">
        <v>34</v>
      </c>
      <c r="Y613" s="18"/>
      <c r="Z613" s="18"/>
      <c r="AA613" s="18"/>
      <c r="AD613" s="6" t="s">
        <v>35</v>
      </c>
      <c r="AE613" s="19" t="s">
        <v>36</v>
      </c>
    </row>
    <row r="614" spans="1:31" ht="14.4" x14ac:dyDescent="0.3">
      <c r="A614" s="21">
        <v>5027</v>
      </c>
      <c r="B614" s="26" t="s">
        <v>580</v>
      </c>
      <c r="C614" s="8">
        <v>143</v>
      </c>
      <c r="D614" s="92" t="s">
        <v>32</v>
      </c>
      <c r="E614" s="6" t="s">
        <v>33</v>
      </c>
      <c r="F614" s="27">
        <v>46048</v>
      </c>
      <c r="G614" s="27">
        <v>46050</v>
      </c>
      <c r="H614" s="29">
        <v>165</v>
      </c>
      <c r="I614" s="30">
        <v>165</v>
      </c>
      <c r="J614" s="21"/>
      <c r="K614" s="31">
        <v>46051</v>
      </c>
      <c r="L614" s="29"/>
      <c r="M614" s="29"/>
      <c r="N614" s="69">
        <v>46051</v>
      </c>
      <c r="O614" s="70"/>
      <c r="P614" s="70"/>
      <c r="Q614" s="71"/>
      <c r="R614" s="71" t="str">
        <f>IF(Q614,Q614-K614,"")</f>
        <v/>
      </c>
      <c r="S614" s="71" t="str">
        <f>IF(R614="","",IF(R614&lt;=4,"Excellent",IF(R614&lt;=8,"Good",IF(R614&lt;=15,"Average",IF(R614&lt;=30,"Poor",IF(R614&gt;=30,"Bad"))))))</f>
        <v/>
      </c>
      <c r="T614" s="68" t="str">
        <f t="shared" ref="T614:T615" ca="1" si="273">IF(U614="","",IF(U614&lt;=3,"Excellent",IF(U614&lt;=7,"Good",IF(U614&lt;=14,"Average",IF(U614&lt;=30,"Poor",IF(U614&gt;=30,"Bad"))))))</f>
        <v/>
      </c>
      <c r="U614" s="68" t="str">
        <f ca="1">IF(E614="Document", IF(#REF!="", "", TODAY() -#REF!), "")</f>
        <v/>
      </c>
      <c r="V614" s="68"/>
      <c r="W614" s="78" t="s">
        <v>581</v>
      </c>
      <c r="X614" s="78" t="s">
        <v>61</v>
      </c>
      <c r="Y614" s="75"/>
      <c r="Z614" s="75"/>
      <c r="AD614" s="21" t="s">
        <v>35</v>
      </c>
      <c r="AE614" s="19" t="s">
        <v>36</v>
      </c>
    </row>
    <row r="615" spans="1:31" ht="14.4" x14ac:dyDescent="0.3">
      <c r="A615" s="6">
        <v>4514</v>
      </c>
      <c r="B615" s="7" t="s">
        <v>47</v>
      </c>
      <c r="C615" s="8">
        <v>143</v>
      </c>
      <c r="D615" s="92" t="s">
        <v>32</v>
      </c>
      <c r="E615" s="6" t="s">
        <v>33</v>
      </c>
      <c r="F615" s="10">
        <v>45663</v>
      </c>
      <c r="G615" s="10">
        <v>45667</v>
      </c>
      <c r="H615" s="11">
        <v>250</v>
      </c>
      <c r="I615" s="12">
        <v>265</v>
      </c>
      <c r="J615" s="13"/>
      <c r="K615" s="36">
        <v>45670</v>
      </c>
      <c r="L615" s="11"/>
      <c r="M615" s="11"/>
      <c r="T615" s="78" t="str">
        <f t="shared" ca="1" si="273"/>
        <v/>
      </c>
      <c r="U615" s="78" t="str">
        <f t="shared" ref="U615:U618" ca="1" si="274">IF(E615="Document", IF(G615="", "", TODAY() - G615), "")</f>
        <v/>
      </c>
      <c r="V615" s="78"/>
      <c r="W615" s="78"/>
      <c r="X615" s="74" t="s">
        <v>34</v>
      </c>
      <c r="Y615" s="18"/>
      <c r="Z615" s="18"/>
      <c r="AA615" s="18"/>
      <c r="AD615" s="6" t="s">
        <v>35</v>
      </c>
      <c r="AE615" s="19" t="s">
        <v>36</v>
      </c>
    </row>
    <row r="616" spans="1:31" ht="14.4" x14ac:dyDescent="0.3">
      <c r="A616" s="21">
        <v>4820</v>
      </c>
      <c r="B616" s="55" t="s">
        <v>582</v>
      </c>
      <c r="C616" s="8">
        <v>143</v>
      </c>
      <c r="D616" s="92" t="s">
        <v>32</v>
      </c>
      <c r="E616" s="21" t="s">
        <v>33</v>
      </c>
      <c r="F616" s="10">
        <v>45908</v>
      </c>
      <c r="G616" s="10">
        <v>45911</v>
      </c>
      <c r="H616" s="22">
        <v>209</v>
      </c>
      <c r="I616" s="23">
        <v>209</v>
      </c>
      <c r="J616" s="24"/>
      <c r="K616" s="14">
        <v>45912</v>
      </c>
      <c r="L616" s="22"/>
      <c r="M616" s="22"/>
      <c r="T616" s="82" t="str">
        <f t="shared" ref="T616:T618" ca="1" si="275">IF($U616="","",IF($U616&lt;=3,"Excellent",IF($U616&lt;=7,"Good",IF($U616&lt;=14,"Average",IF($U616&lt;=30,"Poor",IF($U616&gt;=30,"Bad"))))))</f>
        <v/>
      </c>
      <c r="U616" s="82" t="str">
        <f t="shared" ca="1" si="274"/>
        <v/>
      </c>
      <c r="V616" s="82"/>
      <c r="W616" s="83" t="s">
        <v>482</v>
      </c>
      <c r="X616" s="83" t="s">
        <v>177</v>
      </c>
      <c r="Y616" s="28"/>
      <c r="Z616" s="28"/>
      <c r="AA616" s="28"/>
      <c r="AD616" s="21" t="s">
        <v>35</v>
      </c>
      <c r="AE616" s="19" t="s">
        <v>36</v>
      </c>
    </row>
    <row r="617" spans="1:31" ht="14.4" x14ac:dyDescent="0.3">
      <c r="A617" s="21">
        <v>4849</v>
      </c>
      <c r="B617" s="37" t="s">
        <v>98</v>
      </c>
      <c r="C617" s="8">
        <v>143</v>
      </c>
      <c r="D617" s="92" t="s">
        <v>38</v>
      </c>
      <c r="E617" s="6" t="s">
        <v>33</v>
      </c>
      <c r="F617" s="66">
        <v>45931</v>
      </c>
      <c r="G617" s="66">
        <v>45933</v>
      </c>
      <c r="H617" s="22">
        <v>259</v>
      </c>
      <c r="I617" s="23">
        <v>314</v>
      </c>
      <c r="J617" s="24"/>
      <c r="K617" s="14">
        <v>45934</v>
      </c>
      <c r="L617" s="22"/>
      <c r="M617" s="22"/>
      <c r="T617" s="82" t="str">
        <f t="shared" ca="1" si="275"/>
        <v/>
      </c>
      <c r="U617" s="82" t="str">
        <f t="shared" ca="1" si="274"/>
        <v/>
      </c>
      <c r="V617" s="75">
        <f>15</f>
        <v>15</v>
      </c>
      <c r="W617" s="83" t="s">
        <v>50</v>
      </c>
      <c r="X617" s="83" t="s">
        <v>151</v>
      </c>
      <c r="Y617" s="28"/>
      <c r="Z617" s="28"/>
      <c r="AA617" s="28"/>
      <c r="AD617" s="21" t="s">
        <v>35</v>
      </c>
      <c r="AE617" s="19" t="s">
        <v>36</v>
      </c>
    </row>
    <row r="618" spans="1:31" ht="14.4" x14ac:dyDescent="0.3">
      <c r="A618" s="21">
        <v>4892</v>
      </c>
      <c r="B618" s="37" t="s">
        <v>490</v>
      </c>
      <c r="C618" s="8">
        <v>143</v>
      </c>
      <c r="D618" s="92" t="s">
        <v>38</v>
      </c>
      <c r="E618" s="21" t="s">
        <v>46</v>
      </c>
      <c r="F618" s="42">
        <v>45966</v>
      </c>
      <c r="G618" s="42">
        <v>45968</v>
      </c>
      <c r="H618" s="25"/>
      <c r="I618" s="39"/>
      <c r="J618" s="40"/>
      <c r="K618" s="41"/>
      <c r="L618" s="25"/>
      <c r="M618" s="25"/>
      <c r="T618" s="81" t="str">
        <f t="shared" ca="1" si="275"/>
        <v>Bad</v>
      </c>
      <c r="U618" s="75">
        <f t="shared" ca="1" si="274"/>
        <v>167</v>
      </c>
      <c r="V618" s="82"/>
      <c r="W618" s="82"/>
      <c r="X618" s="82"/>
      <c r="Y618" s="28"/>
      <c r="Z618" s="28"/>
      <c r="AA618" s="28"/>
      <c r="AD618" s="21" t="s">
        <v>35</v>
      </c>
      <c r="AE618" s="19" t="s">
        <v>36</v>
      </c>
    </row>
    <row r="619" spans="1:31" ht="14.4" x14ac:dyDescent="0.3">
      <c r="A619" s="8">
        <v>4990</v>
      </c>
      <c r="B619" s="43" t="s">
        <v>583</v>
      </c>
      <c r="C619" s="8">
        <v>717</v>
      </c>
      <c r="D619" s="95" t="s">
        <v>57</v>
      </c>
      <c r="E619" s="62" t="s">
        <v>33</v>
      </c>
      <c r="F619" s="45">
        <v>46034</v>
      </c>
      <c r="G619" s="45">
        <v>46034</v>
      </c>
      <c r="H619" s="46">
        <v>15</v>
      </c>
      <c r="I619" s="47">
        <v>25</v>
      </c>
      <c r="J619" s="8"/>
      <c r="K619" s="48">
        <v>46035</v>
      </c>
      <c r="L619" s="46"/>
      <c r="M619" s="46"/>
      <c r="N619" s="91">
        <v>46035</v>
      </c>
      <c r="O619" s="87"/>
      <c r="P619" s="87"/>
      <c r="Q619" s="88"/>
      <c r="R619" s="88" t="str">
        <f t="shared" ref="R619:R620" si="276">IF(Q619,Q619-K619,"")</f>
        <v/>
      </c>
      <c r="S619" s="88" t="str">
        <f t="shared" ref="S619:S620" si="277">IF(R619="","",IF(R619&lt;=4,"Excellent",IF(R619&lt;=8,"Good",IF(R619&lt;=15,"Average",IF(R619&lt;=30,"Poor",IF(R619&gt;=30,"Bad"))))))</f>
        <v/>
      </c>
      <c r="T619" s="72" t="str">
        <f ca="1">IF(U619="","",IF(U619&lt;=3,"Excellent",IF(U619&lt;=7,"Good",IF(U619&lt;=14,"Average",IF(U619&lt;=30,"Poor",IF(U619&gt;=30,"Bad"))))))</f>
        <v/>
      </c>
      <c r="U619" s="73" t="str">
        <f ca="1">IF(E619="Document", IF(#REF!="", "", TODAY() -#REF!), "")</f>
        <v/>
      </c>
      <c r="V619" s="73"/>
      <c r="W619" s="74" t="s">
        <v>584</v>
      </c>
      <c r="X619" s="74" t="s">
        <v>517</v>
      </c>
      <c r="Y619" s="89"/>
      <c r="Z619" s="89"/>
      <c r="AD619" s="8" t="s">
        <v>35</v>
      </c>
      <c r="AE619" s="19" t="s">
        <v>36</v>
      </c>
    </row>
    <row r="620" spans="1:31" ht="14.4" x14ac:dyDescent="0.3">
      <c r="A620" s="21">
        <v>5089</v>
      </c>
      <c r="B620" s="26" t="s">
        <v>370</v>
      </c>
      <c r="C620" s="8">
        <v>717</v>
      </c>
      <c r="D620" s="92" t="s">
        <v>38</v>
      </c>
      <c r="E620" s="21" t="s">
        <v>77</v>
      </c>
      <c r="F620" s="27">
        <v>46124</v>
      </c>
      <c r="G620" s="27">
        <v>46131</v>
      </c>
      <c r="H620" s="29"/>
      <c r="I620" s="30"/>
      <c r="J620" s="21"/>
      <c r="K620" s="48">
        <v>46132</v>
      </c>
      <c r="L620" s="29"/>
      <c r="M620" s="29"/>
      <c r="N620" s="69"/>
      <c r="O620" s="70"/>
      <c r="P620" s="70"/>
      <c r="Q620" s="71"/>
      <c r="R620" s="71" t="str">
        <f t="shared" si="276"/>
        <v/>
      </c>
      <c r="S620" s="71" t="str">
        <f t="shared" si="277"/>
        <v/>
      </c>
      <c r="T620" s="72"/>
      <c r="U620" s="73"/>
      <c r="V620" s="73"/>
      <c r="W620" s="74" t="s">
        <v>259</v>
      </c>
      <c r="X620" s="74"/>
      <c r="Y620" s="75"/>
      <c r="Z620" s="75"/>
      <c r="AD620" s="21" t="s">
        <v>35</v>
      </c>
      <c r="AE620" s="19" t="s">
        <v>36</v>
      </c>
    </row>
    <row r="621" spans="1:31" ht="14.4" x14ac:dyDescent="0.3">
      <c r="A621" s="6">
        <v>4662</v>
      </c>
      <c r="B621" s="20" t="s">
        <v>47</v>
      </c>
      <c r="C621" s="8">
        <v>717</v>
      </c>
      <c r="D621" s="92" t="s">
        <v>32</v>
      </c>
      <c r="E621" s="6" t="s">
        <v>33</v>
      </c>
      <c r="F621" s="10">
        <v>45838</v>
      </c>
      <c r="G621" s="10">
        <v>45845</v>
      </c>
      <c r="H621" s="11">
        <v>263</v>
      </c>
      <c r="I621" s="12">
        <v>273</v>
      </c>
      <c r="J621" s="13"/>
      <c r="K621" s="14">
        <v>45846</v>
      </c>
      <c r="L621" s="11"/>
      <c r="M621" s="11"/>
      <c r="T621" s="78" t="str">
        <f t="shared" ref="T621:T623" ca="1" si="278">IF($U621="","",IF($U621&lt;=3,"Excellent",IF($U621&lt;=7,"Good",IF($U621&lt;=14,"Average",IF($U621&lt;=30,"Poor",IF($U621&gt;=30,"Bad"))))))</f>
        <v/>
      </c>
      <c r="U621" s="78" t="str">
        <f t="shared" ref="U621:U623" ca="1" si="279">IF(E621="Document", IF(G621="", "", TODAY() - G621), "")</f>
        <v/>
      </c>
      <c r="V621" s="78"/>
      <c r="W621" s="74" t="s">
        <v>218</v>
      </c>
      <c r="X621" s="74" t="s">
        <v>39</v>
      </c>
      <c r="Y621" s="18"/>
      <c r="Z621" s="18"/>
      <c r="AA621" s="18"/>
      <c r="AD621" s="6" t="s">
        <v>35</v>
      </c>
      <c r="AE621" s="19" t="s">
        <v>36</v>
      </c>
    </row>
    <row r="622" spans="1:31" ht="14.4" x14ac:dyDescent="0.3">
      <c r="A622" s="21">
        <v>4803</v>
      </c>
      <c r="B622" s="55" t="s">
        <v>56</v>
      </c>
      <c r="C622" s="8">
        <v>717</v>
      </c>
      <c r="D622" s="92" t="s">
        <v>57</v>
      </c>
      <c r="E622" s="21" t="s">
        <v>33</v>
      </c>
      <c r="F622" s="10">
        <v>45888</v>
      </c>
      <c r="G622" s="10">
        <v>45888</v>
      </c>
      <c r="H622" s="22">
        <v>25</v>
      </c>
      <c r="I622" s="23">
        <v>25</v>
      </c>
      <c r="J622" s="24"/>
      <c r="K622" s="14">
        <v>45888</v>
      </c>
      <c r="L622" s="22"/>
      <c r="M622" s="22"/>
      <c r="T622" s="82" t="str">
        <f t="shared" ca="1" si="278"/>
        <v/>
      </c>
      <c r="U622" s="82" t="str">
        <f t="shared" ca="1" si="279"/>
        <v/>
      </c>
      <c r="V622" s="82"/>
      <c r="W622" s="83" t="s">
        <v>585</v>
      </c>
      <c r="X622" s="83" t="s">
        <v>372</v>
      </c>
      <c r="Y622" s="28"/>
      <c r="Z622" s="28"/>
      <c r="AA622" s="28"/>
      <c r="AD622" s="21" t="s">
        <v>35</v>
      </c>
      <c r="AE622" s="19" t="s">
        <v>36</v>
      </c>
    </row>
    <row r="623" spans="1:31" ht="14.4" x14ac:dyDescent="0.3">
      <c r="A623" s="6">
        <v>4565</v>
      </c>
      <c r="B623" s="7" t="s">
        <v>47</v>
      </c>
      <c r="C623" s="8">
        <v>975</v>
      </c>
      <c r="D623" s="92" t="s">
        <v>32</v>
      </c>
      <c r="E623" s="6" t="s">
        <v>46</v>
      </c>
      <c r="F623" s="10">
        <v>45706</v>
      </c>
      <c r="G623" s="10">
        <v>45718</v>
      </c>
      <c r="H623" s="16"/>
      <c r="I623" s="53"/>
      <c r="J623" s="54"/>
      <c r="K623" s="41"/>
      <c r="L623" s="11"/>
      <c r="M623" s="11"/>
      <c r="T623" s="77" t="str">
        <f t="shared" ca="1" si="278"/>
        <v>Bad</v>
      </c>
      <c r="U623" s="73">
        <f t="shared" ca="1" si="279"/>
        <v>417</v>
      </c>
      <c r="V623" s="73">
        <f>109</f>
        <v>109</v>
      </c>
      <c r="W623" s="78"/>
      <c r="X623" s="78"/>
      <c r="Y623" s="18"/>
      <c r="Z623" s="18"/>
      <c r="AA623" s="18"/>
      <c r="AD623" s="6" t="s">
        <v>35</v>
      </c>
      <c r="AE623" s="19" t="s">
        <v>36</v>
      </c>
    </row>
    <row r="624" spans="1:31" ht="14.4" x14ac:dyDescent="0.3">
      <c r="A624" s="21">
        <v>5073</v>
      </c>
      <c r="B624" s="26" t="s">
        <v>586</v>
      </c>
      <c r="C624" s="8">
        <v>446</v>
      </c>
      <c r="D624" s="92" t="s">
        <v>32</v>
      </c>
      <c r="E624" s="6" t="s">
        <v>33</v>
      </c>
      <c r="F624" s="27">
        <v>46078</v>
      </c>
      <c r="G624" s="27">
        <v>46087</v>
      </c>
      <c r="H624" s="29">
        <v>184</v>
      </c>
      <c r="I624" s="30">
        <v>254</v>
      </c>
      <c r="J624" s="21"/>
      <c r="K624" s="31">
        <v>46090</v>
      </c>
      <c r="L624" s="29"/>
      <c r="M624" s="29"/>
      <c r="N624" s="69">
        <v>46097</v>
      </c>
      <c r="O624" s="70"/>
      <c r="P624" s="70"/>
      <c r="Q624" s="71"/>
      <c r="R624" s="71" t="str">
        <f t="shared" ref="R624:R625" si="280">IF(Q624,Q624-K624,"")</f>
        <v/>
      </c>
      <c r="S624" s="71" t="str">
        <f t="shared" ref="S624:S625" si="281">IF(R624="","",IF(R624&lt;=4,"Excellent",IF(R624&lt;=8,"Good",IF(R624&lt;=15,"Average",IF(R624&lt;=30,"Poor",IF(R624&gt;=30,"Bad"))))))</f>
        <v/>
      </c>
      <c r="T624" s="68" t="str">
        <f ca="1">IF(U624="","",IF(U624&lt;=3,"Excellent",IF(U624&lt;=7,"Good",IF(U624&lt;=14,"Average",IF(U624&lt;=30,"Poor",IF(U624&gt;=30,"Bad"))))))</f>
        <v/>
      </c>
      <c r="U624" s="68" t="str">
        <f ca="1">IF(E624="Document", IF(#REF!="", "", TODAY() -#REF!), "")</f>
        <v/>
      </c>
      <c r="V624" s="68">
        <f>3</f>
        <v>3</v>
      </c>
      <c r="W624" s="78" t="s">
        <v>140</v>
      </c>
      <c r="X624" s="78" t="s">
        <v>114</v>
      </c>
      <c r="Y624" s="75"/>
      <c r="Z624" s="75"/>
      <c r="AD624" s="21" t="s">
        <v>35</v>
      </c>
      <c r="AE624" s="19" t="s">
        <v>36</v>
      </c>
    </row>
    <row r="625" spans="1:31" ht="14.4" x14ac:dyDescent="0.3">
      <c r="A625" s="21">
        <v>5125</v>
      </c>
      <c r="B625" s="26" t="s">
        <v>37</v>
      </c>
      <c r="C625" s="8">
        <v>446</v>
      </c>
      <c r="D625" s="92" t="s">
        <v>38</v>
      </c>
      <c r="E625" s="21" t="s">
        <v>62</v>
      </c>
      <c r="F625" s="27">
        <v>46132</v>
      </c>
      <c r="G625" s="27">
        <v>46138</v>
      </c>
      <c r="H625" s="29"/>
      <c r="I625" s="30"/>
      <c r="J625" s="21"/>
      <c r="K625" s="48"/>
      <c r="L625" s="29"/>
      <c r="M625" s="29"/>
      <c r="N625" s="69"/>
      <c r="O625" s="70"/>
      <c r="P625" s="70"/>
      <c r="Q625" s="71"/>
      <c r="R625" s="71" t="str">
        <f t="shared" si="280"/>
        <v/>
      </c>
      <c r="S625" s="71" t="str">
        <f t="shared" si="281"/>
        <v/>
      </c>
      <c r="T625" s="72"/>
      <c r="U625" s="73"/>
      <c r="V625" s="73"/>
      <c r="W625" s="74"/>
      <c r="X625" s="74"/>
      <c r="Y625" s="75"/>
      <c r="Z625" s="75"/>
      <c r="AD625" s="21" t="s">
        <v>35</v>
      </c>
      <c r="AE625" s="19" t="s">
        <v>36</v>
      </c>
    </row>
    <row r="626" spans="1:31" ht="14.4" x14ac:dyDescent="0.3">
      <c r="A626" s="6">
        <v>4513</v>
      </c>
      <c r="B626" s="7" t="s">
        <v>587</v>
      </c>
      <c r="C626" s="8">
        <v>446</v>
      </c>
      <c r="D626" s="92" t="s">
        <v>32</v>
      </c>
      <c r="E626" s="6" t="s">
        <v>77</v>
      </c>
      <c r="F626" s="10">
        <v>45663</v>
      </c>
      <c r="G626" s="10">
        <v>45669</v>
      </c>
      <c r="H626" s="16"/>
      <c r="I626" s="53"/>
      <c r="J626" s="54"/>
      <c r="K626" s="41"/>
      <c r="L626" s="16"/>
      <c r="M626" s="16"/>
      <c r="T626" s="78" t="str">
        <f ca="1">IF(U626="","",IF(U626&lt;=3,"Excellent",IF(U626&lt;=7,"Good",IF(U626&lt;=14,"Average",IF(U626&lt;=30,"Poor",IF(U626&gt;=30,"Bad"))))))</f>
        <v/>
      </c>
      <c r="U626" s="78" t="str">
        <f t="shared" ref="U626:U638" ca="1" si="282">IF(E626="Document", IF(G626="", "", TODAY() - G626), "")</f>
        <v/>
      </c>
      <c r="V626" s="78"/>
      <c r="W626" s="74" t="s">
        <v>106</v>
      </c>
      <c r="X626" s="78"/>
      <c r="Y626" s="18"/>
      <c r="Z626" s="18"/>
      <c r="AA626" s="18"/>
      <c r="AD626" s="6" t="s">
        <v>35</v>
      </c>
      <c r="AE626" s="19" t="s">
        <v>36</v>
      </c>
    </row>
    <row r="627" spans="1:31" ht="14.4" x14ac:dyDescent="0.3">
      <c r="A627" s="6">
        <v>4510</v>
      </c>
      <c r="B627" s="7" t="s">
        <v>588</v>
      </c>
      <c r="C627" s="8">
        <v>446</v>
      </c>
      <c r="D627" s="92" t="s">
        <v>57</v>
      </c>
      <c r="E627" s="6" t="s">
        <v>33</v>
      </c>
      <c r="F627" s="10">
        <v>45674</v>
      </c>
      <c r="G627" s="10">
        <v>45674</v>
      </c>
      <c r="H627" s="11">
        <v>10</v>
      </c>
      <c r="I627" s="12">
        <v>20</v>
      </c>
      <c r="J627" s="13"/>
      <c r="K627" s="36">
        <v>45678</v>
      </c>
      <c r="L627" s="11"/>
      <c r="M627" s="11"/>
      <c r="T627" s="78" t="str">
        <f t="shared" ref="T627:T638" ca="1" si="283">IF($U627="","",IF($U627&lt;=3,"Excellent",IF($U627&lt;=7,"Good",IF($U627&lt;=14,"Average",IF($U627&lt;=30,"Poor",IF($U627&gt;=30,"Bad"))))))</f>
        <v/>
      </c>
      <c r="U627" s="78" t="str">
        <f t="shared" ca="1" si="282"/>
        <v/>
      </c>
      <c r="V627" s="78"/>
      <c r="W627" s="78"/>
      <c r="X627" s="74" t="s">
        <v>34</v>
      </c>
      <c r="Y627" s="18"/>
      <c r="Z627" s="18"/>
      <c r="AA627" s="18"/>
      <c r="AD627" s="6" t="s">
        <v>35</v>
      </c>
      <c r="AE627" s="19" t="s">
        <v>36</v>
      </c>
    </row>
    <row r="628" spans="1:31" ht="14.4" x14ac:dyDescent="0.3">
      <c r="A628" s="6">
        <v>4545</v>
      </c>
      <c r="B628" s="7" t="s">
        <v>589</v>
      </c>
      <c r="C628" s="8">
        <v>446</v>
      </c>
      <c r="D628" s="92" t="s">
        <v>38</v>
      </c>
      <c r="E628" s="6" t="s">
        <v>33</v>
      </c>
      <c r="F628" s="10">
        <v>45701</v>
      </c>
      <c r="G628" s="10">
        <v>45711</v>
      </c>
      <c r="H628" s="11">
        <v>178</v>
      </c>
      <c r="I628" s="12">
        <v>233</v>
      </c>
      <c r="J628" s="13"/>
      <c r="K628" s="36">
        <v>45713</v>
      </c>
      <c r="L628" s="11"/>
      <c r="M628" s="11"/>
      <c r="T628" s="78" t="str">
        <f t="shared" ca="1" si="283"/>
        <v/>
      </c>
      <c r="U628" s="78" t="str">
        <f t="shared" ca="1" si="282"/>
        <v/>
      </c>
      <c r="V628" s="78"/>
      <c r="W628" s="78"/>
      <c r="X628" s="74" t="s">
        <v>34</v>
      </c>
      <c r="Y628" s="18"/>
      <c r="Z628" s="18"/>
      <c r="AA628" s="18"/>
      <c r="AD628" s="6" t="s">
        <v>35</v>
      </c>
      <c r="AE628" s="19" t="s">
        <v>36</v>
      </c>
    </row>
    <row r="629" spans="1:31" ht="14.4" x14ac:dyDescent="0.3">
      <c r="A629" s="21">
        <v>4822</v>
      </c>
      <c r="B629" s="55" t="s">
        <v>370</v>
      </c>
      <c r="C629" s="8">
        <v>446</v>
      </c>
      <c r="D629" s="92" t="s">
        <v>38</v>
      </c>
      <c r="E629" s="21" t="s">
        <v>33</v>
      </c>
      <c r="F629" s="10">
        <v>45910</v>
      </c>
      <c r="G629" s="10">
        <v>45912</v>
      </c>
      <c r="H629" s="22">
        <v>318</v>
      </c>
      <c r="I629" s="23">
        <v>318</v>
      </c>
      <c r="J629" s="24"/>
      <c r="K629" s="14">
        <v>45915</v>
      </c>
      <c r="L629" s="22"/>
      <c r="M629" s="22"/>
      <c r="T629" s="82" t="str">
        <f t="shared" ca="1" si="283"/>
        <v/>
      </c>
      <c r="U629" s="82" t="str">
        <f t="shared" ca="1" si="282"/>
        <v/>
      </c>
      <c r="V629" s="82"/>
      <c r="W629" s="83" t="s">
        <v>470</v>
      </c>
      <c r="X629" s="83" t="s">
        <v>299</v>
      </c>
      <c r="Y629" s="28"/>
      <c r="Z629" s="28"/>
      <c r="AA629" s="28"/>
      <c r="AD629" s="21" t="s">
        <v>35</v>
      </c>
      <c r="AE629" s="19" t="s">
        <v>36</v>
      </c>
    </row>
    <row r="630" spans="1:31" ht="14.4" x14ac:dyDescent="0.3">
      <c r="A630" s="21">
        <v>4824</v>
      </c>
      <c r="B630" s="7" t="s">
        <v>504</v>
      </c>
      <c r="C630" s="8">
        <v>1033</v>
      </c>
      <c r="D630" s="92" t="s">
        <v>202</v>
      </c>
      <c r="E630" s="21" t="s">
        <v>33</v>
      </c>
      <c r="F630" s="10">
        <v>45916</v>
      </c>
      <c r="G630" s="99">
        <v>45931</v>
      </c>
      <c r="H630" s="22">
        <v>734</v>
      </c>
      <c r="I630" s="23">
        <v>801</v>
      </c>
      <c r="J630" s="24"/>
      <c r="K630" s="14">
        <v>45933</v>
      </c>
      <c r="L630" s="22"/>
      <c r="M630" s="22"/>
      <c r="T630" s="82" t="str">
        <f t="shared" ca="1" si="283"/>
        <v/>
      </c>
      <c r="U630" s="82" t="str">
        <f t="shared" ca="1" si="282"/>
        <v/>
      </c>
      <c r="V630" s="75">
        <f>14</f>
        <v>14</v>
      </c>
      <c r="W630" s="83" t="s">
        <v>590</v>
      </c>
      <c r="X630" s="83" t="s">
        <v>278</v>
      </c>
      <c r="Y630" s="28"/>
      <c r="Z630" s="28"/>
      <c r="AA630" s="28"/>
      <c r="AD630" s="21" t="s">
        <v>35</v>
      </c>
      <c r="AE630" s="19" t="s">
        <v>36</v>
      </c>
    </row>
    <row r="631" spans="1:31" ht="14.4" x14ac:dyDescent="0.3">
      <c r="A631" s="6">
        <v>4454</v>
      </c>
      <c r="B631" s="7" t="s">
        <v>41</v>
      </c>
      <c r="C631" s="8">
        <v>537</v>
      </c>
      <c r="D631" s="92" t="s">
        <v>42</v>
      </c>
      <c r="E631" s="6" t="s">
        <v>33</v>
      </c>
      <c r="F631" s="10">
        <v>45677</v>
      </c>
      <c r="G631" s="10">
        <v>45690</v>
      </c>
      <c r="H631" s="11">
        <v>329</v>
      </c>
      <c r="I631" s="12">
        <v>483</v>
      </c>
      <c r="J631" s="13"/>
      <c r="K631" s="36">
        <v>45691</v>
      </c>
      <c r="L631" s="11"/>
      <c r="M631" s="11"/>
      <c r="T631" s="78" t="str">
        <f t="shared" ca="1" si="283"/>
        <v/>
      </c>
      <c r="U631" s="78" t="str">
        <f t="shared" ca="1" si="282"/>
        <v/>
      </c>
      <c r="V631" s="78"/>
      <c r="W631" s="78"/>
      <c r="X631" s="74" t="s">
        <v>34</v>
      </c>
      <c r="Y631" s="18"/>
      <c r="Z631" s="18"/>
      <c r="AA631" s="18"/>
      <c r="AD631" s="6" t="s">
        <v>35</v>
      </c>
      <c r="AE631" s="19" t="s">
        <v>36</v>
      </c>
    </row>
    <row r="632" spans="1:31" ht="14.4" x14ac:dyDescent="0.3">
      <c r="A632" s="6">
        <v>4454</v>
      </c>
      <c r="B632" s="7" t="s">
        <v>41</v>
      </c>
      <c r="C632" s="8">
        <v>537</v>
      </c>
      <c r="D632" s="92" t="s">
        <v>42</v>
      </c>
      <c r="E632" s="6" t="s">
        <v>33</v>
      </c>
      <c r="F632" s="10">
        <v>45677</v>
      </c>
      <c r="G632" s="10">
        <v>45690</v>
      </c>
      <c r="H632" s="11">
        <v>329</v>
      </c>
      <c r="I632" s="12">
        <v>483</v>
      </c>
      <c r="J632" s="13"/>
      <c r="K632" s="36">
        <v>45691</v>
      </c>
      <c r="L632" s="11"/>
      <c r="M632" s="11"/>
      <c r="T632" s="78" t="str">
        <f t="shared" ca="1" si="283"/>
        <v/>
      </c>
      <c r="U632" s="78" t="str">
        <f t="shared" ca="1" si="282"/>
        <v/>
      </c>
      <c r="V632" s="78"/>
      <c r="W632" s="78"/>
      <c r="X632" s="74" t="s">
        <v>34</v>
      </c>
      <c r="Y632" s="18"/>
      <c r="Z632" s="18"/>
      <c r="AA632" s="18"/>
      <c r="AD632" s="6" t="s">
        <v>35</v>
      </c>
      <c r="AE632" s="19" t="s">
        <v>36</v>
      </c>
    </row>
    <row r="633" spans="1:31" ht="14.4" x14ac:dyDescent="0.3">
      <c r="A633" s="6">
        <v>4623</v>
      </c>
      <c r="B633" s="7" t="s">
        <v>591</v>
      </c>
      <c r="C633" s="8">
        <v>537</v>
      </c>
      <c r="D633" s="92" t="s">
        <v>57</v>
      </c>
      <c r="E633" s="6" t="s">
        <v>46</v>
      </c>
      <c r="F633" s="10">
        <v>45742</v>
      </c>
      <c r="G633" s="10">
        <v>45742</v>
      </c>
      <c r="H633" s="16"/>
      <c r="I633" s="53"/>
      <c r="J633" s="54"/>
      <c r="K633" s="41"/>
      <c r="L633" s="11"/>
      <c r="M633" s="11"/>
      <c r="T633" s="77" t="str">
        <f t="shared" ca="1" si="283"/>
        <v>Bad</v>
      </c>
      <c r="U633" s="73">
        <f t="shared" ca="1" si="282"/>
        <v>393</v>
      </c>
      <c r="V633" s="73">
        <f>109</f>
        <v>109</v>
      </c>
      <c r="W633" s="78"/>
      <c r="X633" s="78"/>
      <c r="Y633" s="18"/>
      <c r="Z633" s="18"/>
      <c r="AA633" s="18"/>
      <c r="AD633" s="6" t="s">
        <v>35</v>
      </c>
      <c r="AE633" s="19" t="s">
        <v>36</v>
      </c>
    </row>
    <row r="634" spans="1:31" ht="14.4" x14ac:dyDescent="0.3">
      <c r="A634" s="21">
        <v>4736</v>
      </c>
      <c r="B634" s="7" t="s">
        <v>216</v>
      </c>
      <c r="C634" s="8">
        <v>242</v>
      </c>
      <c r="D634" s="92" t="s">
        <v>32</v>
      </c>
      <c r="E634" s="21" t="s">
        <v>46</v>
      </c>
      <c r="F634" s="10">
        <v>45852</v>
      </c>
      <c r="G634" s="10">
        <v>45869</v>
      </c>
      <c r="H634" s="25"/>
      <c r="I634" s="39"/>
      <c r="J634" s="40"/>
      <c r="K634" s="41"/>
      <c r="L634" s="22"/>
      <c r="M634" s="22"/>
      <c r="T634" s="81" t="str">
        <f t="shared" ca="1" si="283"/>
        <v>Bad</v>
      </c>
      <c r="U634" s="75">
        <f t="shared" ca="1" si="282"/>
        <v>266</v>
      </c>
      <c r="V634" s="75">
        <f>78</f>
        <v>78</v>
      </c>
      <c r="W634" s="82"/>
      <c r="X634" s="82"/>
      <c r="Y634" s="28"/>
      <c r="Z634" s="28"/>
      <c r="AA634" s="28"/>
      <c r="AD634" s="21" t="s">
        <v>35</v>
      </c>
      <c r="AE634" s="19" t="s">
        <v>36</v>
      </c>
    </row>
    <row r="635" spans="1:31" ht="14.4" x14ac:dyDescent="0.3">
      <c r="A635" s="6">
        <v>4542</v>
      </c>
      <c r="B635" s="7" t="s">
        <v>592</v>
      </c>
      <c r="C635" s="8">
        <v>841</v>
      </c>
      <c r="D635" s="92" t="s">
        <v>32</v>
      </c>
      <c r="E635" s="6" t="s">
        <v>33</v>
      </c>
      <c r="F635" s="10">
        <v>45687</v>
      </c>
      <c r="G635" s="10">
        <v>45688</v>
      </c>
      <c r="H635" s="11">
        <v>209</v>
      </c>
      <c r="I635" s="12">
        <v>249</v>
      </c>
      <c r="J635" s="13"/>
      <c r="K635" s="36">
        <v>45692</v>
      </c>
      <c r="L635" s="11"/>
      <c r="M635" s="11"/>
      <c r="T635" s="78" t="str">
        <f t="shared" ca="1" si="283"/>
        <v/>
      </c>
      <c r="U635" s="78" t="str">
        <f t="shared" ca="1" si="282"/>
        <v/>
      </c>
      <c r="V635" s="78"/>
      <c r="W635" s="78"/>
      <c r="X635" s="74" t="s">
        <v>34</v>
      </c>
      <c r="Y635" s="18"/>
      <c r="Z635" s="18"/>
      <c r="AA635" s="18"/>
      <c r="AD635" s="6" t="s">
        <v>35</v>
      </c>
      <c r="AE635" s="19" t="s">
        <v>36</v>
      </c>
    </row>
    <row r="636" spans="1:31" ht="14.4" x14ac:dyDescent="0.3">
      <c r="A636" s="21">
        <v>4735</v>
      </c>
      <c r="B636" s="7" t="s">
        <v>593</v>
      </c>
      <c r="C636" s="8">
        <v>841</v>
      </c>
      <c r="D636" s="92" t="s">
        <v>38</v>
      </c>
      <c r="E636" s="21" t="s">
        <v>33</v>
      </c>
      <c r="F636" s="10">
        <v>45852</v>
      </c>
      <c r="G636" s="10">
        <v>45852</v>
      </c>
      <c r="H636" s="22">
        <v>59</v>
      </c>
      <c r="I636" s="23">
        <v>59</v>
      </c>
      <c r="J636" s="24"/>
      <c r="K636" s="14">
        <v>45853</v>
      </c>
      <c r="L636" s="22"/>
      <c r="M636" s="22"/>
      <c r="T636" s="82" t="str">
        <f t="shared" ca="1" si="283"/>
        <v/>
      </c>
      <c r="U636" s="82" t="str">
        <f t="shared" ca="1" si="282"/>
        <v/>
      </c>
      <c r="V636" s="82"/>
      <c r="W636" s="83" t="s">
        <v>594</v>
      </c>
      <c r="X636" s="83" t="s">
        <v>286</v>
      </c>
      <c r="Y636" s="28"/>
      <c r="Z636" s="28"/>
      <c r="AA636" s="28"/>
      <c r="AD636" s="21" t="s">
        <v>35</v>
      </c>
      <c r="AE636" s="19" t="s">
        <v>36</v>
      </c>
    </row>
    <row r="637" spans="1:31" ht="14.4" x14ac:dyDescent="0.3">
      <c r="A637" s="21">
        <v>4939</v>
      </c>
      <c r="B637" s="37" t="s">
        <v>37</v>
      </c>
      <c r="C637" s="8">
        <v>841</v>
      </c>
      <c r="D637" s="92" t="s">
        <v>38</v>
      </c>
      <c r="E637" s="21" t="s">
        <v>33</v>
      </c>
      <c r="F637" s="38">
        <v>45999</v>
      </c>
      <c r="G637" s="38">
        <v>46005</v>
      </c>
      <c r="H637" s="22">
        <v>346</v>
      </c>
      <c r="I637" s="23">
        <v>356</v>
      </c>
      <c r="J637" s="24"/>
      <c r="K637" s="14">
        <v>46006</v>
      </c>
      <c r="L637" s="22"/>
      <c r="M637" s="22"/>
      <c r="T637" s="82" t="str">
        <f t="shared" ca="1" si="283"/>
        <v/>
      </c>
      <c r="U637" s="82" t="str">
        <f t="shared" ca="1" si="282"/>
        <v/>
      </c>
      <c r="V637" s="82"/>
      <c r="W637" s="83" t="s">
        <v>595</v>
      </c>
      <c r="X637" s="83" t="s">
        <v>285</v>
      </c>
      <c r="Y637" s="28"/>
      <c r="Z637" s="28"/>
      <c r="AA637" s="28"/>
      <c r="AD637" s="21" t="s">
        <v>35</v>
      </c>
      <c r="AE637" s="19" t="s">
        <v>36</v>
      </c>
    </row>
    <row r="638" spans="1:31" ht="14.4" x14ac:dyDescent="0.3">
      <c r="A638" s="6">
        <v>4521</v>
      </c>
      <c r="B638" s="7" t="s">
        <v>596</v>
      </c>
      <c r="C638" s="8">
        <v>363</v>
      </c>
      <c r="D638" s="92" t="s">
        <v>57</v>
      </c>
      <c r="E638" s="6" t="s">
        <v>33</v>
      </c>
      <c r="F638" s="10">
        <v>45671</v>
      </c>
      <c r="G638" s="10">
        <v>45671</v>
      </c>
      <c r="H638" s="11">
        <v>10</v>
      </c>
      <c r="I638" s="12">
        <v>10</v>
      </c>
      <c r="J638" s="13"/>
      <c r="K638" s="36">
        <v>45673</v>
      </c>
      <c r="L638" s="11"/>
      <c r="M638" s="11"/>
      <c r="T638" s="78" t="str">
        <f t="shared" ca="1" si="283"/>
        <v/>
      </c>
      <c r="U638" s="78" t="str">
        <f t="shared" ca="1" si="282"/>
        <v/>
      </c>
      <c r="V638" s="78"/>
      <c r="W638" s="78"/>
      <c r="X638" s="74" t="s">
        <v>34</v>
      </c>
      <c r="Y638" s="18"/>
      <c r="Z638" s="18"/>
      <c r="AA638" s="18"/>
      <c r="AD638" s="6" t="s">
        <v>35</v>
      </c>
      <c r="AE638" s="19" t="s">
        <v>36</v>
      </c>
    </row>
    <row r="639" spans="1:31" ht="14.4" x14ac:dyDescent="0.3">
      <c r="A639" s="21">
        <v>5050</v>
      </c>
      <c r="B639" s="26" t="s">
        <v>597</v>
      </c>
      <c r="C639" s="8">
        <v>541</v>
      </c>
      <c r="D639" s="92" t="s">
        <v>38</v>
      </c>
      <c r="E639" s="6" t="s">
        <v>33</v>
      </c>
      <c r="F639" s="27">
        <v>46055</v>
      </c>
      <c r="G639" s="27">
        <v>46066</v>
      </c>
      <c r="H639" s="29">
        <v>304</v>
      </c>
      <c r="I639" s="30">
        <v>324</v>
      </c>
      <c r="J639" s="21"/>
      <c r="K639" s="31">
        <v>46075</v>
      </c>
      <c r="L639" s="29"/>
      <c r="M639" s="29"/>
      <c r="N639" s="69">
        <v>46084</v>
      </c>
      <c r="O639" s="70"/>
      <c r="P639" s="70"/>
      <c r="Q639" s="71"/>
      <c r="R639" s="71" t="str">
        <f>IF(Q639,Q639-K639,"")</f>
        <v/>
      </c>
      <c r="S639" s="71" t="str">
        <f>IF(R639="","",IF(R639&lt;=4,"Excellent",IF(R639&lt;=8,"Good",IF(R639&lt;=15,"Average",IF(R639&lt;=30,"Poor",IF(R639&gt;=30,"Bad"))))))</f>
        <v/>
      </c>
      <c r="T639" s="68" t="str">
        <f ca="1">IF(U639="","",IF(U639&lt;=3,"Excellent",IF(U639&lt;=7,"Good",IF(U639&lt;=14,"Average",IF(U639&lt;=30,"Poor",IF(U639&gt;=30,"Bad"))))))</f>
        <v/>
      </c>
      <c r="U639" s="68" t="str">
        <f ca="1">IF(E639="Document", IF(#REF!="", "", TODAY() -#REF!), "")</f>
        <v/>
      </c>
      <c r="V639" s="68"/>
      <c r="W639" s="78" t="s">
        <v>153</v>
      </c>
      <c r="X639" s="78" t="s">
        <v>598</v>
      </c>
      <c r="Y639" s="75"/>
      <c r="Z639" s="75"/>
      <c r="AD639" s="21" t="s">
        <v>35</v>
      </c>
      <c r="AE639" s="19" t="s">
        <v>36</v>
      </c>
    </row>
    <row r="640" spans="1:31" ht="14.4" x14ac:dyDescent="0.3">
      <c r="A640" s="6">
        <v>4564</v>
      </c>
      <c r="B640" s="7" t="s">
        <v>84</v>
      </c>
      <c r="C640" s="8">
        <v>541</v>
      </c>
      <c r="D640" s="92" t="s">
        <v>38</v>
      </c>
      <c r="E640" s="6" t="s">
        <v>33</v>
      </c>
      <c r="F640" s="10">
        <v>45706</v>
      </c>
      <c r="G640" s="10">
        <v>45712</v>
      </c>
      <c r="H640" s="11">
        <v>190</v>
      </c>
      <c r="I640" s="12">
        <v>245</v>
      </c>
      <c r="J640" s="13"/>
      <c r="K640" s="36">
        <v>45713</v>
      </c>
      <c r="L640" s="11"/>
      <c r="M640" s="11"/>
      <c r="T640" s="78" t="str">
        <f t="shared" ref="T640:T642" ca="1" si="284">IF($U640="","",IF($U640&lt;=3,"Excellent",IF($U640&lt;=7,"Good",IF($U640&lt;=14,"Average",IF($U640&lt;=30,"Poor",IF($U640&gt;=30,"Bad"))))))</f>
        <v/>
      </c>
      <c r="U640" s="78" t="str">
        <f t="shared" ref="U640:U642" ca="1" si="285">IF(E640="Document", IF(G640="", "", TODAY() - G640), "")</f>
        <v/>
      </c>
      <c r="V640" s="78"/>
      <c r="W640" s="78"/>
      <c r="X640" s="74" t="s">
        <v>34</v>
      </c>
      <c r="Y640" s="18"/>
      <c r="Z640" s="18"/>
      <c r="AA640" s="18"/>
      <c r="AD640" s="6" t="s">
        <v>35</v>
      </c>
      <c r="AE640" s="19" t="s">
        <v>36</v>
      </c>
    </row>
    <row r="641" spans="1:31" ht="14.4" x14ac:dyDescent="0.3">
      <c r="A641" s="6">
        <v>4597</v>
      </c>
      <c r="B641" s="7" t="s">
        <v>599</v>
      </c>
      <c r="C641" s="8">
        <v>541</v>
      </c>
      <c r="D641" s="92" t="s">
        <v>32</v>
      </c>
      <c r="E641" s="6" t="s">
        <v>33</v>
      </c>
      <c r="F641" s="10">
        <v>45721</v>
      </c>
      <c r="G641" s="10">
        <v>45727</v>
      </c>
      <c r="H641" s="11">
        <v>214</v>
      </c>
      <c r="I641" s="12">
        <v>274</v>
      </c>
      <c r="J641" s="13"/>
      <c r="K641" s="36">
        <v>45728</v>
      </c>
      <c r="L641" s="11"/>
      <c r="M641" s="11"/>
      <c r="T641" s="78" t="str">
        <f t="shared" ca="1" si="284"/>
        <v/>
      </c>
      <c r="U641" s="78" t="str">
        <f t="shared" ca="1" si="285"/>
        <v/>
      </c>
      <c r="V641" s="78"/>
      <c r="W641" s="78"/>
      <c r="X641" s="74" t="s">
        <v>34</v>
      </c>
      <c r="Y641" s="18"/>
      <c r="Z641" s="18"/>
      <c r="AA641" s="18"/>
      <c r="AD641" s="6" t="s">
        <v>35</v>
      </c>
      <c r="AE641" s="19" t="s">
        <v>36</v>
      </c>
    </row>
    <row r="642" spans="1:31" ht="14.4" x14ac:dyDescent="0.3">
      <c r="A642" s="21">
        <v>4883</v>
      </c>
      <c r="B642" s="37" t="s">
        <v>47</v>
      </c>
      <c r="C642" s="8">
        <v>376</v>
      </c>
      <c r="D642" s="92" t="s">
        <v>32</v>
      </c>
      <c r="E642" s="21" t="s">
        <v>33</v>
      </c>
      <c r="F642" s="42">
        <v>45957</v>
      </c>
      <c r="G642" s="42">
        <v>45968</v>
      </c>
      <c r="H642" s="22">
        <v>244</v>
      </c>
      <c r="I642" s="23">
        <v>274</v>
      </c>
      <c r="J642" s="24"/>
      <c r="K642" s="14">
        <v>45969</v>
      </c>
      <c r="L642" s="22"/>
      <c r="M642" s="22"/>
      <c r="T642" s="82" t="str">
        <f t="shared" ca="1" si="284"/>
        <v/>
      </c>
      <c r="U642" s="82" t="str">
        <f t="shared" ca="1" si="285"/>
        <v/>
      </c>
      <c r="V642" s="82"/>
      <c r="W642" s="83" t="s">
        <v>243</v>
      </c>
      <c r="X642" s="83" t="s">
        <v>249</v>
      </c>
      <c r="Y642" s="28"/>
      <c r="Z642" s="28"/>
      <c r="AA642" s="28"/>
      <c r="AD642" s="21" t="s">
        <v>35</v>
      </c>
      <c r="AE642" s="19" t="s">
        <v>36</v>
      </c>
    </row>
    <row r="643" spans="1:31" ht="14.4" x14ac:dyDescent="0.3">
      <c r="A643" s="21">
        <v>5104</v>
      </c>
      <c r="B643" s="26" t="s">
        <v>504</v>
      </c>
      <c r="C643" s="8">
        <v>1069</v>
      </c>
      <c r="D643" s="92" t="s">
        <v>202</v>
      </c>
      <c r="E643" s="21" t="s">
        <v>62</v>
      </c>
      <c r="F643" s="27">
        <v>46129</v>
      </c>
      <c r="G643" s="27">
        <v>46188</v>
      </c>
      <c r="H643" s="29"/>
      <c r="I643" s="30"/>
      <c r="J643" s="21"/>
      <c r="K643" s="48"/>
      <c r="L643" s="29"/>
      <c r="M643" s="29"/>
      <c r="N643" s="69"/>
      <c r="O643" s="70"/>
      <c r="P643" s="70"/>
      <c r="Q643" s="71"/>
      <c r="R643" s="71" t="str">
        <f t="shared" ref="R643:R644" si="286">IF(Q643,Q643-K643,"")</f>
        <v/>
      </c>
      <c r="S643" s="71" t="str">
        <f t="shared" ref="S643:S644" si="287">IF(R643="","",IF(R643&lt;=4,"Excellent",IF(R643&lt;=8,"Good",IF(R643&lt;=15,"Average",IF(R643&lt;=30,"Poor",IF(R643&gt;=30,"Bad"))))))</f>
        <v/>
      </c>
      <c r="T643" s="72"/>
      <c r="U643" s="73"/>
      <c r="V643" s="73"/>
      <c r="W643" s="74"/>
      <c r="X643" s="74"/>
      <c r="Y643" s="75"/>
      <c r="Z643" s="75"/>
      <c r="AD643" s="21" t="s">
        <v>35</v>
      </c>
      <c r="AE643" s="19" t="s">
        <v>36</v>
      </c>
    </row>
    <row r="644" spans="1:31" ht="14.4" x14ac:dyDescent="0.3">
      <c r="A644" s="21">
        <v>5104</v>
      </c>
      <c r="B644" s="26" t="s">
        <v>504</v>
      </c>
      <c r="C644" s="8">
        <v>1069</v>
      </c>
      <c r="D644" s="92" t="s">
        <v>202</v>
      </c>
      <c r="E644" s="21" t="s">
        <v>62</v>
      </c>
      <c r="F644" s="27">
        <v>46129</v>
      </c>
      <c r="G644" s="27">
        <v>46188</v>
      </c>
      <c r="H644" s="29"/>
      <c r="I644" s="30"/>
      <c r="J644" s="21"/>
      <c r="K644" s="48"/>
      <c r="L644" s="29"/>
      <c r="M644" s="29"/>
      <c r="N644" s="69"/>
      <c r="O644" s="70"/>
      <c r="P644" s="70"/>
      <c r="Q644" s="71"/>
      <c r="R644" s="71" t="str">
        <f t="shared" si="286"/>
        <v/>
      </c>
      <c r="S644" s="71" t="str">
        <f t="shared" si="287"/>
        <v/>
      </c>
      <c r="T644" s="72"/>
      <c r="U644" s="73"/>
      <c r="V644" s="73"/>
      <c r="W644" s="74"/>
      <c r="X644" s="74"/>
      <c r="Y644" s="75"/>
      <c r="Z644" s="75"/>
      <c r="AD644" s="21" t="s">
        <v>35</v>
      </c>
      <c r="AE644" s="19" t="s">
        <v>36</v>
      </c>
    </row>
    <row r="645" spans="1:31" ht="14.4" x14ac:dyDescent="0.3">
      <c r="A645" s="21">
        <v>4897</v>
      </c>
      <c r="B645" s="37" t="s">
        <v>37</v>
      </c>
      <c r="C645" s="8">
        <v>265</v>
      </c>
      <c r="D645" s="92" t="s">
        <v>38</v>
      </c>
      <c r="E645" s="21" t="s">
        <v>33</v>
      </c>
      <c r="F645" s="42">
        <v>45973</v>
      </c>
      <c r="G645" s="42">
        <v>45975</v>
      </c>
      <c r="H645" s="22">
        <v>272</v>
      </c>
      <c r="I645" s="23">
        <v>302</v>
      </c>
      <c r="J645" s="24"/>
      <c r="K645" s="14">
        <v>45977</v>
      </c>
      <c r="L645" s="22"/>
      <c r="M645" s="22"/>
      <c r="T645" s="82" t="str">
        <f t="shared" ref="T645:T648" ca="1" si="288">IF($U645="","",IF($U645&lt;=3,"Excellent",IF($U645&lt;=7,"Good",IF($U645&lt;=14,"Average",IF($U645&lt;=30,"Poor",IF($U645&gt;=30,"Bad"))))))</f>
        <v/>
      </c>
      <c r="U645" s="82" t="str">
        <f t="shared" ref="U645:U652" ca="1" si="289">IF(E645="Document", IF(G645="", "", TODAY() - G645), "")</f>
        <v/>
      </c>
      <c r="V645" s="82"/>
      <c r="W645" s="83" t="s">
        <v>60</v>
      </c>
      <c r="X645" s="83" t="s">
        <v>87</v>
      </c>
      <c r="Y645" s="28"/>
      <c r="Z645" s="28"/>
      <c r="AA645" s="28"/>
      <c r="AD645" s="21" t="s">
        <v>35</v>
      </c>
      <c r="AE645" s="19" t="s">
        <v>36</v>
      </c>
    </row>
    <row r="646" spans="1:31" ht="14.4" x14ac:dyDescent="0.3">
      <c r="A646" s="21">
        <v>4604</v>
      </c>
      <c r="B646" s="55" t="s">
        <v>504</v>
      </c>
      <c r="C646" s="8">
        <v>1028</v>
      </c>
      <c r="D646" s="92" t="s">
        <v>202</v>
      </c>
      <c r="E646" s="21" t="s">
        <v>33</v>
      </c>
      <c r="F646" s="10">
        <v>45889</v>
      </c>
      <c r="G646" s="10">
        <v>45914</v>
      </c>
      <c r="H646" s="22">
        <v>1000</v>
      </c>
      <c r="I646" s="23">
        <v>1000</v>
      </c>
      <c r="J646" s="24"/>
      <c r="K646" s="14">
        <v>45915</v>
      </c>
      <c r="L646" s="22"/>
      <c r="M646" s="22"/>
      <c r="T646" s="82" t="str">
        <f t="shared" ca="1" si="288"/>
        <v/>
      </c>
      <c r="U646" s="82" t="str">
        <f t="shared" ca="1" si="289"/>
        <v/>
      </c>
      <c r="V646" s="82"/>
      <c r="W646" s="83" t="s">
        <v>482</v>
      </c>
      <c r="X646" s="83" t="s">
        <v>309</v>
      </c>
      <c r="Y646" s="28"/>
      <c r="Z646" s="28"/>
      <c r="AA646" s="28"/>
      <c r="AD646" s="21" t="s">
        <v>35</v>
      </c>
      <c r="AE646" s="19" t="s">
        <v>36</v>
      </c>
    </row>
    <row r="647" spans="1:31" ht="14.4" x14ac:dyDescent="0.3">
      <c r="A647" s="21">
        <v>4604</v>
      </c>
      <c r="B647" s="55" t="s">
        <v>504</v>
      </c>
      <c r="C647" s="8">
        <v>1028</v>
      </c>
      <c r="D647" s="92" t="s">
        <v>202</v>
      </c>
      <c r="E647" s="21" t="s">
        <v>33</v>
      </c>
      <c r="F647" s="10">
        <v>45889</v>
      </c>
      <c r="G647" s="10">
        <v>45914</v>
      </c>
      <c r="H647" s="22">
        <v>1000</v>
      </c>
      <c r="I647" s="23">
        <v>1000</v>
      </c>
      <c r="J647" s="24"/>
      <c r="K647" s="14">
        <v>45915</v>
      </c>
      <c r="L647" s="22"/>
      <c r="M647" s="22"/>
      <c r="T647" s="82" t="str">
        <f t="shared" ca="1" si="288"/>
        <v/>
      </c>
      <c r="U647" s="82" t="str">
        <f t="shared" ca="1" si="289"/>
        <v/>
      </c>
      <c r="V647" s="82"/>
      <c r="W647" s="83" t="s">
        <v>482</v>
      </c>
      <c r="X647" s="83" t="s">
        <v>309</v>
      </c>
      <c r="Y647" s="28"/>
      <c r="Z647" s="28"/>
      <c r="AA647" s="28"/>
      <c r="AD647" s="21" t="s">
        <v>35</v>
      </c>
      <c r="AE647" s="19" t="s">
        <v>36</v>
      </c>
    </row>
    <row r="648" spans="1:31" ht="14.4" x14ac:dyDescent="0.3">
      <c r="A648" s="21">
        <v>4851</v>
      </c>
      <c r="B648" s="37" t="s">
        <v>600</v>
      </c>
      <c r="C648" s="8">
        <v>1028</v>
      </c>
      <c r="D648" s="92" t="s">
        <v>38</v>
      </c>
      <c r="E648" s="21" t="s">
        <v>33</v>
      </c>
      <c r="F648" s="66">
        <v>45932</v>
      </c>
      <c r="G648" s="66">
        <v>45934</v>
      </c>
      <c r="H648" s="22">
        <v>73</v>
      </c>
      <c r="I648" s="23">
        <v>73</v>
      </c>
      <c r="J648" s="24"/>
      <c r="K648" s="14">
        <v>45936</v>
      </c>
      <c r="L648" s="22"/>
      <c r="M648" s="22"/>
      <c r="T648" s="82" t="str">
        <f t="shared" ca="1" si="288"/>
        <v/>
      </c>
      <c r="U648" s="82" t="str">
        <f t="shared" ca="1" si="289"/>
        <v/>
      </c>
      <c r="V648" s="82"/>
      <c r="W648" s="83" t="s">
        <v>423</v>
      </c>
      <c r="X648" s="83" t="s">
        <v>309</v>
      </c>
      <c r="Y648" s="28"/>
      <c r="Z648" s="28"/>
      <c r="AA648" s="28"/>
      <c r="AD648" s="21" t="s">
        <v>35</v>
      </c>
      <c r="AE648" s="19" t="s">
        <v>36</v>
      </c>
    </row>
    <row r="649" spans="1:31" ht="14.4" x14ac:dyDescent="0.3">
      <c r="A649" s="6">
        <v>4235</v>
      </c>
      <c r="B649" s="7" t="s">
        <v>547</v>
      </c>
      <c r="C649" s="8">
        <v>990</v>
      </c>
      <c r="D649" s="92" t="s">
        <v>202</v>
      </c>
      <c r="E649" s="6" t="s">
        <v>33</v>
      </c>
      <c r="F649" s="10">
        <v>45662</v>
      </c>
      <c r="G649" s="10">
        <v>45682</v>
      </c>
      <c r="H649" s="11">
        <v>824</v>
      </c>
      <c r="I649" s="12">
        <v>870</v>
      </c>
      <c r="J649" s="13"/>
      <c r="K649" s="36">
        <v>45685</v>
      </c>
      <c r="L649" s="11"/>
      <c r="M649" s="11"/>
      <c r="T649" s="78" t="str">
        <f ca="1">IF(U649="","",IF(U649&lt;=3,"Excellent",IF(U649&lt;=7,"Good",IF(U649&lt;=14,"Average",IF(U649&lt;=30,"Poor",IF(U649&gt;=30,"Bad"))))))</f>
        <v/>
      </c>
      <c r="U649" s="78" t="str">
        <f t="shared" ca="1" si="289"/>
        <v/>
      </c>
      <c r="V649" s="78"/>
      <c r="W649" s="78"/>
      <c r="X649" s="74" t="s">
        <v>34</v>
      </c>
      <c r="Y649" s="18"/>
      <c r="Z649" s="18"/>
      <c r="AA649" s="18"/>
      <c r="AD649" s="6" t="s">
        <v>35</v>
      </c>
      <c r="AE649" s="19" t="s">
        <v>36</v>
      </c>
    </row>
    <row r="650" spans="1:31" ht="14.4" x14ac:dyDescent="0.3">
      <c r="A650" s="6">
        <v>4593</v>
      </c>
      <c r="B650" s="7" t="s">
        <v>601</v>
      </c>
      <c r="C650" s="8">
        <v>990</v>
      </c>
      <c r="D650" s="92" t="s">
        <v>57</v>
      </c>
      <c r="E650" s="6" t="s">
        <v>46</v>
      </c>
      <c r="F650" s="10">
        <v>45716</v>
      </c>
      <c r="G650" s="10">
        <v>45716</v>
      </c>
      <c r="H650" s="16"/>
      <c r="I650" s="53"/>
      <c r="J650" s="54"/>
      <c r="K650" s="41"/>
      <c r="L650" s="11"/>
      <c r="M650" s="11"/>
      <c r="T650" s="77" t="str">
        <f t="shared" ref="T650:T652" ca="1" si="290">IF($U650="","",IF($U650&lt;=3,"Excellent",IF($U650&lt;=7,"Good",IF($U650&lt;=14,"Average",IF($U650&lt;=30,"Poor",IF($U650&gt;=30,"Bad"))))))</f>
        <v>Bad</v>
      </c>
      <c r="U650" s="73">
        <f t="shared" ca="1" si="289"/>
        <v>419</v>
      </c>
      <c r="V650" s="73">
        <f>109</f>
        <v>109</v>
      </c>
      <c r="W650" s="78"/>
      <c r="X650" s="78"/>
      <c r="Y650" s="18"/>
      <c r="Z650" s="18"/>
      <c r="AA650" s="18"/>
      <c r="AD650" s="6" t="s">
        <v>35</v>
      </c>
      <c r="AE650" s="19" t="s">
        <v>36</v>
      </c>
    </row>
    <row r="651" spans="1:31" ht="14.4" x14ac:dyDescent="0.3">
      <c r="A651" s="6">
        <v>4608</v>
      </c>
      <c r="B651" s="7" t="s">
        <v>405</v>
      </c>
      <c r="C651" s="8">
        <v>990</v>
      </c>
      <c r="D651" s="92" t="s">
        <v>57</v>
      </c>
      <c r="E651" s="6" t="s">
        <v>33</v>
      </c>
      <c r="F651" s="10">
        <v>45729</v>
      </c>
      <c r="G651" s="10">
        <v>45729</v>
      </c>
      <c r="H651" s="11">
        <v>30</v>
      </c>
      <c r="I651" s="12">
        <v>60</v>
      </c>
      <c r="J651" s="13"/>
      <c r="K651" s="36">
        <v>45730</v>
      </c>
      <c r="L651" s="11"/>
      <c r="M651" s="11"/>
      <c r="T651" s="78" t="str">
        <f t="shared" ca="1" si="290"/>
        <v/>
      </c>
      <c r="U651" s="78" t="str">
        <f t="shared" ca="1" si="289"/>
        <v/>
      </c>
      <c r="V651" s="78"/>
      <c r="W651" s="78"/>
      <c r="X651" s="74" t="s">
        <v>34</v>
      </c>
      <c r="Y651" s="18"/>
      <c r="Z651" s="18"/>
      <c r="AA651" s="18"/>
      <c r="AD651" s="6" t="s">
        <v>35</v>
      </c>
      <c r="AE651" s="19" t="s">
        <v>36</v>
      </c>
    </row>
    <row r="652" spans="1:31" ht="14.4" x14ac:dyDescent="0.3">
      <c r="A652" s="21">
        <v>4926</v>
      </c>
      <c r="B652" s="37" t="s">
        <v>47</v>
      </c>
      <c r="C652" s="8">
        <v>94</v>
      </c>
      <c r="D652" s="92" t="s">
        <v>32</v>
      </c>
      <c r="E652" s="21" t="s">
        <v>33</v>
      </c>
      <c r="F652" s="38">
        <v>45992</v>
      </c>
      <c r="G652" s="38">
        <v>45998</v>
      </c>
      <c r="H652" s="22">
        <v>205</v>
      </c>
      <c r="I652" s="23">
        <v>220</v>
      </c>
      <c r="J652" s="24"/>
      <c r="K652" s="14">
        <v>45999</v>
      </c>
      <c r="L652" s="22"/>
      <c r="M652" s="22"/>
      <c r="T652" s="82" t="str">
        <f t="shared" ca="1" si="290"/>
        <v/>
      </c>
      <c r="U652" s="82" t="str">
        <f t="shared" ca="1" si="289"/>
        <v/>
      </c>
      <c r="V652" s="82"/>
      <c r="W652" s="83" t="s">
        <v>357</v>
      </c>
      <c r="X652" s="83" t="s">
        <v>285</v>
      </c>
      <c r="Y652" s="28"/>
      <c r="Z652" s="28"/>
      <c r="AA652" s="28"/>
      <c r="AD652" s="21" t="s">
        <v>35</v>
      </c>
      <c r="AE652" s="19" t="s">
        <v>36</v>
      </c>
    </row>
    <row r="653" spans="1:31" ht="14.4" x14ac:dyDescent="0.3">
      <c r="A653" s="8">
        <v>5004</v>
      </c>
      <c r="B653" s="43" t="s">
        <v>602</v>
      </c>
      <c r="C653" s="8">
        <v>457</v>
      </c>
      <c r="D653" s="95" t="s">
        <v>57</v>
      </c>
      <c r="E653" s="62" t="s">
        <v>33</v>
      </c>
      <c r="F653" s="45">
        <v>46037</v>
      </c>
      <c r="G653" s="45">
        <v>46037</v>
      </c>
      <c r="H653" s="46">
        <v>10</v>
      </c>
      <c r="I653" s="47">
        <v>15</v>
      </c>
      <c r="J653" s="8"/>
      <c r="K653" s="48">
        <v>46037</v>
      </c>
      <c r="L653" s="46"/>
      <c r="M653" s="46"/>
      <c r="N653" s="91">
        <v>46037</v>
      </c>
      <c r="O653" s="87"/>
      <c r="P653" s="87"/>
      <c r="Q653" s="88"/>
      <c r="R653" s="88" t="str">
        <f t="shared" ref="R653:R656" si="291">IF(Q653,Q653-K653,"")</f>
        <v/>
      </c>
      <c r="S653" s="88" t="str">
        <f t="shared" ref="S653:S656" si="292">IF(R653="","",IF(R653&lt;=4,"Excellent",IF(R653&lt;=8,"Good",IF(R653&lt;=15,"Average",IF(R653&lt;=30,"Poor",IF(R653&gt;=30,"Bad"))))))</f>
        <v/>
      </c>
      <c r="T653" s="72" t="str">
        <f t="shared" ref="T653:T655" ca="1" si="293">IF(U653="","",IF(U653&lt;=3,"Excellent",IF(U653&lt;=7,"Good",IF(U653&lt;=14,"Average",IF(U653&lt;=30,"Poor",IF(U653&gt;=30,"Bad"))))))</f>
        <v/>
      </c>
      <c r="U653" s="73" t="str">
        <f ca="1">IF(E653="Document", IF(#REF!="", "", TODAY() -#REF!), "")</f>
        <v/>
      </c>
      <c r="V653" s="73"/>
      <c r="W653" s="74" t="s">
        <v>516</v>
      </c>
      <c r="X653" s="74" t="s">
        <v>302</v>
      </c>
      <c r="Y653" s="89"/>
      <c r="Z653" s="89"/>
      <c r="AD653" s="8" t="s">
        <v>35</v>
      </c>
      <c r="AE653" s="19" t="s">
        <v>36</v>
      </c>
    </row>
    <row r="654" spans="1:31" ht="14.4" x14ac:dyDescent="0.3">
      <c r="A654" s="21">
        <v>4987</v>
      </c>
      <c r="B654" s="26" t="s">
        <v>504</v>
      </c>
      <c r="C654" s="8">
        <v>1065</v>
      </c>
      <c r="D654" s="92" t="s">
        <v>202</v>
      </c>
      <c r="E654" s="6" t="s">
        <v>62</v>
      </c>
      <c r="F654" s="27">
        <v>46111</v>
      </c>
      <c r="G654" s="52">
        <v>46170</v>
      </c>
      <c r="H654" s="29"/>
      <c r="I654" s="30"/>
      <c r="J654" s="21"/>
      <c r="K654" s="31"/>
      <c r="L654" s="29"/>
      <c r="M654" s="29"/>
      <c r="N654" s="69"/>
      <c r="O654" s="70"/>
      <c r="P654" s="70"/>
      <c r="Q654" s="71"/>
      <c r="R654" s="71" t="str">
        <f t="shared" si="291"/>
        <v/>
      </c>
      <c r="S654" s="71" t="str">
        <f t="shared" si="292"/>
        <v/>
      </c>
      <c r="T654" s="68" t="str">
        <f t="shared" ca="1" si="293"/>
        <v/>
      </c>
      <c r="U654" s="68" t="str">
        <f ca="1">IF(E654="Document", IF(#REF!="", "", TODAY() -#REF!), "")</f>
        <v/>
      </c>
      <c r="V654" s="68"/>
      <c r="W654" s="78"/>
      <c r="X654" s="78"/>
      <c r="Y654" s="75"/>
      <c r="Z654" s="75"/>
      <c r="AD654" s="21" t="s">
        <v>35</v>
      </c>
      <c r="AE654" s="19" t="s">
        <v>36</v>
      </c>
    </row>
    <row r="655" spans="1:31" ht="14.4" x14ac:dyDescent="0.3">
      <c r="A655" s="21">
        <v>4987</v>
      </c>
      <c r="B655" s="26" t="s">
        <v>504</v>
      </c>
      <c r="C655" s="8">
        <v>1065</v>
      </c>
      <c r="D655" s="92" t="s">
        <v>202</v>
      </c>
      <c r="E655" s="6" t="s">
        <v>62</v>
      </c>
      <c r="F655" s="27">
        <v>46111</v>
      </c>
      <c r="G655" s="52">
        <v>46170</v>
      </c>
      <c r="H655" s="29"/>
      <c r="I655" s="30"/>
      <c r="J655" s="21"/>
      <c r="K655" s="31"/>
      <c r="L655" s="29"/>
      <c r="M655" s="29"/>
      <c r="N655" s="69"/>
      <c r="O655" s="70"/>
      <c r="P655" s="70"/>
      <c r="Q655" s="71"/>
      <c r="R655" s="71" t="str">
        <f t="shared" si="291"/>
        <v/>
      </c>
      <c r="S655" s="71" t="str">
        <f t="shared" si="292"/>
        <v/>
      </c>
      <c r="T655" s="68" t="str">
        <f t="shared" ca="1" si="293"/>
        <v/>
      </c>
      <c r="U655" s="68" t="str">
        <f ca="1">IF(E655="Document", IF(#REF!="", "", TODAY() -#REF!), "")</f>
        <v/>
      </c>
      <c r="V655" s="68"/>
      <c r="W655" s="78"/>
      <c r="X655" s="78"/>
      <c r="Y655" s="75"/>
      <c r="Z655" s="75"/>
      <c r="AD655" s="21" t="s">
        <v>35</v>
      </c>
      <c r="AE655" s="19" t="s">
        <v>36</v>
      </c>
    </row>
    <row r="656" spans="1:31" ht="14.4" x14ac:dyDescent="0.3">
      <c r="A656" s="21">
        <v>5124</v>
      </c>
      <c r="B656" s="26" t="s">
        <v>37</v>
      </c>
      <c r="C656" s="8">
        <v>609</v>
      </c>
      <c r="D656" s="92" t="s">
        <v>38</v>
      </c>
      <c r="E656" s="21" t="s">
        <v>77</v>
      </c>
      <c r="F656" s="27">
        <v>46125</v>
      </c>
      <c r="G656" s="27">
        <v>46128</v>
      </c>
      <c r="H656" s="29"/>
      <c r="I656" s="30"/>
      <c r="J656" s="21"/>
      <c r="K656" s="48">
        <v>46132</v>
      </c>
      <c r="L656" s="29"/>
      <c r="M656" s="29"/>
      <c r="N656" s="69"/>
      <c r="O656" s="70"/>
      <c r="P656" s="70"/>
      <c r="Q656" s="71"/>
      <c r="R656" s="71" t="str">
        <f t="shared" si="291"/>
        <v/>
      </c>
      <c r="S656" s="71" t="str">
        <f t="shared" si="292"/>
        <v/>
      </c>
      <c r="T656" s="72"/>
      <c r="U656" s="73"/>
      <c r="V656" s="73">
        <f>7</f>
        <v>7</v>
      </c>
      <c r="W656" s="74" t="s">
        <v>603</v>
      </c>
      <c r="X656" s="74"/>
      <c r="Y656" s="75"/>
      <c r="Z656" s="75"/>
      <c r="AD656" s="21" t="s">
        <v>35</v>
      </c>
      <c r="AE656" s="19" t="s">
        <v>36</v>
      </c>
    </row>
    <row r="657" spans="1:31" ht="14.4" x14ac:dyDescent="0.3">
      <c r="A657" s="6">
        <v>4694</v>
      </c>
      <c r="B657" s="20" t="s">
        <v>37</v>
      </c>
      <c r="C657" s="8">
        <v>609</v>
      </c>
      <c r="D657" s="92" t="s">
        <v>38</v>
      </c>
      <c r="E657" s="6" t="s">
        <v>33</v>
      </c>
      <c r="F657" s="10">
        <v>45824</v>
      </c>
      <c r="G657" s="10">
        <v>45827</v>
      </c>
      <c r="H657" s="11">
        <v>342</v>
      </c>
      <c r="I657" s="12">
        <v>342</v>
      </c>
      <c r="J657" s="13"/>
      <c r="K657" s="14">
        <v>45828</v>
      </c>
      <c r="L657" s="11"/>
      <c r="M657" s="11"/>
      <c r="T657" s="78" t="str">
        <f t="shared" ref="T657:T669" ca="1" si="294">IF($U657="","",IF($U657&lt;=3,"Excellent",IF($U657&lt;=7,"Good",IF($U657&lt;=14,"Average",IF($U657&lt;=30,"Poor",IF($U657&gt;=30,"Bad"))))))</f>
        <v/>
      </c>
      <c r="U657" s="78" t="str">
        <f t="shared" ref="U657:U671" ca="1" si="295">IF(E657="Document", IF(G657="", "", TODAY() - G657), "")</f>
        <v/>
      </c>
      <c r="V657" s="73">
        <f>5</f>
        <v>5</v>
      </c>
      <c r="W657" s="74" t="s">
        <v>604</v>
      </c>
      <c r="X657" s="74" t="s">
        <v>159</v>
      </c>
      <c r="Y657" s="18"/>
      <c r="Z657" s="18"/>
      <c r="AA657" s="18"/>
      <c r="AD657" s="6" t="s">
        <v>55</v>
      </c>
      <c r="AE657" s="19" t="s">
        <v>36</v>
      </c>
    </row>
    <row r="658" spans="1:31" ht="14.4" x14ac:dyDescent="0.3">
      <c r="A658" s="21">
        <v>4915</v>
      </c>
      <c r="B658" s="37" t="s">
        <v>37</v>
      </c>
      <c r="C658" s="8">
        <v>609</v>
      </c>
      <c r="D658" s="92" t="s">
        <v>38</v>
      </c>
      <c r="E658" s="21" t="s">
        <v>33</v>
      </c>
      <c r="F658" s="38">
        <v>45988</v>
      </c>
      <c r="G658" s="38">
        <v>45989</v>
      </c>
      <c r="H658" s="22">
        <v>85</v>
      </c>
      <c r="I658" s="23">
        <v>125</v>
      </c>
      <c r="J658" s="24"/>
      <c r="K658" s="14">
        <v>45993</v>
      </c>
      <c r="L658" s="22"/>
      <c r="M658" s="22"/>
      <c r="T658" s="82" t="str">
        <f t="shared" ca="1" si="294"/>
        <v/>
      </c>
      <c r="U658" s="82" t="str">
        <f t="shared" ca="1" si="295"/>
        <v/>
      </c>
      <c r="V658" s="82"/>
      <c r="W658" s="83" t="s">
        <v>60</v>
      </c>
      <c r="X658" s="83" t="s">
        <v>187</v>
      </c>
      <c r="Y658" s="28"/>
      <c r="Z658" s="28"/>
      <c r="AA658" s="28"/>
      <c r="AD658" s="21" t="s">
        <v>35</v>
      </c>
      <c r="AE658" s="19" t="s">
        <v>36</v>
      </c>
    </row>
    <row r="659" spans="1:31" ht="14.4" x14ac:dyDescent="0.3">
      <c r="A659" s="21">
        <v>4960</v>
      </c>
      <c r="B659" s="37" t="s">
        <v>605</v>
      </c>
      <c r="C659" s="8">
        <v>609</v>
      </c>
      <c r="D659" s="92" t="s">
        <v>38</v>
      </c>
      <c r="E659" s="21" t="s">
        <v>77</v>
      </c>
      <c r="F659" s="38">
        <v>46007</v>
      </c>
      <c r="G659" s="38">
        <v>46007</v>
      </c>
      <c r="H659" s="25"/>
      <c r="I659" s="39"/>
      <c r="J659" s="40"/>
      <c r="K659" s="14">
        <v>46008</v>
      </c>
      <c r="L659" s="22"/>
      <c r="M659" s="22"/>
      <c r="T659" s="82" t="str">
        <f t="shared" ca="1" si="294"/>
        <v/>
      </c>
      <c r="U659" s="82" t="str">
        <f t="shared" ca="1" si="295"/>
        <v/>
      </c>
      <c r="V659" s="82"/>
      <c r="W659" s="83" t="s">
        <v>606</v>
      </c>
      <c r="X659" s="82"/>
      <c r="Y659" s="28"/>
      <c r="Z659" s="28"/>
      <c r="AA659" s="28"/>
      <c r="AD659" s="21" t="s">
        <v>35</v>
      </c>
      <c r="AE659" s="19" t="s">
        <v>36</v>
      </c>
    </row>
    <row r="660" spans="1:31" ht="14.4" x14ac:dyDescent="0.3">
      <c r="A660" s="21">
        <v>4932</v>
      </c>
      <c r="B660" s="37" t="s">
        <v>37</v>
      </c>
      <c r="C660" s="8">
        <v>815</v>
      </c>
      <c r="D660" s="92" t="s">
        <v>38</v>
      </c>
      <c r="E660" s="21" t="s">
        <v>33</v>
      </c>
      <c r="F660" s="38">
        <v>45999</v>
      </c>
      <c r="G660" s="38">
        <v>46003</v>
      </c>
      <c r="H660" s="22">
        <v>318</v>
      </c>
      <c r="I660" s="23">
        <v>318</v>
      </c>
      <c r="J660" s="24"/>
      <c r="K660" s="14">
        <v>46020</v>
      </c>
      <c r="L660" s="22"/>
      <c r="M660" s="22"/>
      <c r="T660" s="82" t="str">
        <f t="shared" ca="1" si="294"/>
        <v/>
      </c>
      <c r="U660" s="82" t="str">
        <f t="shared" ca="1" si="295"/>
        <v/>
      </c>
      <c r="V660" s="82"/>
      <c r="W660" s="83" t="s">
        <v>233</v>
      </c>
      <c r="X660" s="83" t="s">
        <v>105</v>
      </c>
      <c r="Y660" s="28"/>
      <c r="Z660" s="28"/>
      <c r="AA660" s="28"/>
      <c r="AD660" s="21" t="s">
        <v>35</v>
      </c>
      <c r="AE660" s="19" t="s">
        <v>36</v>
      </c>
    </row>
    <row r="661" spans="1:31" ht="14.4" x14ac:dyDescent="0.3">
      <c r="A661" s="6">
        <v>4646</v>
      </c>
      <c r="B661" s="7" t="s">
        <v>607</v>
      </c>
      <c r="C661" s="8">
        <v>963</v>
      </c>
      <c r="D661" s="92" t="s">
        <v>484</v>
      </c>
      <c r="E661" s="6" t="s">
        <v>33</v>
      </c>
      <c r="F661" s="10">
        <v>45770</v>
      </c>
      <c r="G661" s="10">
        <v>45772</v>
      </c>
      <c r="H661" s="11">
        <v>20</v>
      </c>
      <c r="I661" s="12">
        <v>40</v>
      </c>
      <c r="J661" s="13"/>
      <c r="K661" s="14">
        <v>45777</v>
      </c>
      <c r="L661" s="11"/>
      <c r="M661" s="11"/>
      <c r="T661" s="78" t="str">
        <f t="shared" ca="1" si="294"/>
        <v/>
      </c>
      <c r="U661" s="78" t="str">
        <f t="shared" ca="1" si="295"/>
        <v/>
      </c>
      <c r="V661" s="73">
        <f>12</f>
        <v>12</v>
      </c>
      <c r="W661" s="74" t="s">
        <v>608</v>
      </c>
      <c r="X661" s="74" t="s">
        <v>381</v>
      </c>
      <c r="Y661" s="18"/>
      <c r="Z661" s="18"/>
      <c r="AA661" s="18"/>
      <c r="AD661" s="6" t="s">
        <v>35</v>
      </c>
      <c r="AE661" s="19" t="s">
        <v>36</v>
      </c>
    </row>
    <row r="662" spans="1:31" ht="14.4" x14ac:dyDescent="0.3">
      <c r="A662" s="6">
        <v>4715</v>
      </c>
      <c r="B662" s="7" t="s">
        <v>607</v>
      </c>
      <c r="C662" s="8">
        <v>963</v>
      </c>
      <c r="D662" s="92" t="s">
        <v>484</v>
      </c>
      <c r="E662" s="6" t="s">
        <v>33</v>
      </c>
      <c r="F662" s="10">
        <v>45775</v>
      </c>
      <c r="G662" s="10">
        <v>45776</v>
      </c>
      <c r="H662" s="11">
        <v>35</v>
      </c>
      <c r="I662" s="12">
        <v>65</v>
      </c>
      <c r="J662" s="13"/>
      <c r="K662" s="14">
        <v>45777</v>
      </c>
      <c r="L662" s="11"/>
      <c r="M662" s="11"/>
      <c r="T662" s="78" t="str">
        <f t="shared" ca="1" si="294"/>
        <v/>
      </c>
      <c r="U662" s="78" t="str">
        <f t="shared" ca="1" si="295"/>
        <v/>
      </c>
      <c r="V662" s="78"/>
      <c r="W662" s="78"/>
      <c r="X662" s="74" t="s">
        <v>34</v>
      </c>
      <c r="Y662" s="18"/>
      <c r="Z662" s="18"/>
      <c r="AA662" s="18"/>
      <c r="AD662" s="6" t="s">
        <v>35</v>
      </c>
      <c r="AE662" s="19" t="s">
        <v>36</v>
      </c>
    </row>
    <row r="663" spans="1:31" ht="14.4" x14ac:dyDescent="0.3">
      <c r="A663" s="6">
        <v>4656</v>
      </c>
      <c r="B663" s="7" t="s">
        <v>490</v>
      </c>
      <c r="C663" s="8">
        <v>963</v>
      </c>
      <c r="D663" s="92" t="s">
        <v>484</v>
      </c>
      <c r="E663" s="6" t="s">
        <v>33</v>
      </c>
      <c r="F663" s="10">
        <v>45785</v>
      </c>
      <c r="G663" s="10">
        <v>45785</v>
      </c>
      <c r="H663" s="11">
        <v>45</v>
      </c>
      <c r="I663" s="12">
        <v>85</v>
      </c>
      <c r="J663" s="13"/>
      <c r="K663" s="61">
        <v>45785</v>
      </c>
      <c r="L663" s="11"/>
      <c r="M663" s="11"/>
      <c r="T663" s="78" t="str">
        <f t="shared" ca="1" si="294"/>
        <v/>
      </c>
      <c r="U663" s="78" t="str">
        <f t="shared" ca="1" si="295"/>
        <v/>
      </c>
      <c r="V663" s="78"/>
      <c r="W663" s="74" t="s">
        <v>106</v>
      </c>
      <c r="X663" s="74" t="s">
        <v>167</v>
      </c>
      <c r="Y663" s="18"/>
      <c r="Z663" s="18"/>
      <c r="AA663" s="18"/>
      <c r="AD663" s="6" t="s">
        <v>35</v>
      </c>
      <c r="AE663" s="19" t="s">
        <v>36</v>
      </c>
    </row>
    <row r="664" spans="1:31" ht="14.4" x14ac:dyDescent="0.3">
      <c r="A664" s="6">
        <v>4686</v>
      </c>
      <c r="B664" s="7" t="s">
        <v>609</v>
      </c>
      <c r="C664" s="8">
        <v>963</v>
      </c>
      <c r="D664" s="92" t="s">
        <v>32</v>
      </c>
      <c r="E664" s="6" t="s">
        <v>33</v>
      </c>
      <c r="F664" s="10">
        <v>45819</v>
      </c>
      <c r="G664" s="10">
        <v>45820</v>
      </c>
      <c r="H664" s="11">
        <v>55</v>
      </c>
      <c r="I664" s="12">
        <v>65</v>
      </c>
      <c r="J664" s="13"/>
      <c r="K664" s="14">
        <v>45820</v>
      </c>
      <c r="L664" s="11"/>
      <c r="M664" s="11"/>
      <c r="T664" s="78" t="str">
        <f t="shared" ca="1" si="294"/>
        <v/>
      </c>
      <c r="U664" s="78" t="str">
        <f t="shared" ca="1" si="295"/>
        <v/>
      </c>
      <c r="V664" s="78"/>
      <c r="W664" s="78"/>
      <c r="X664" s="74" t="s">
        <v>34</v>
      </c>
      <c r="Y664" s="18"/>
      <c r="Z664" s="18"/>
      <c r="AA664" s="18"/>
      <c r="AD664" s="6" t="s">
        <v>35</v>
      </c>
      <c r="AE664" s="19" t="s">
        <v>36</v>
      </c>
    </row>
    <row r="665" spans="1:31" ht="14.4" x14ac:dyDescent="0.3">
      <c r="A665" s="6">
        <v>4552</v>
      </c>
      <c r="B665" s="7" t="s">
        <v>542</v>
      </c>
      <c r="C665" s="8">
        <v>1023</v>
      </c>
      <c r="D665" s="92" t="s">
        <v>202</v>
      </c>
      <c r="E665" s="6" t="s">
        <v>33</v>
      </c>
      <c r="F665" s="10">
        <v>45719</v>
      </c>
      <c r="G665" s="10">
        <v>45733</v>
      </c>
      <c r="H665" s="11">
        <v>967</v>
      </c>
      <c r="I665" s="12">
        <v>1007</v>
      </c>
      <c r="J665" s="13"/>
      <c r="K665" s="36">
        <v>45734</v>
      </c>
      <c r="L665" s="11"/>
      <c r="M665" s="11"/>
      <c r="T665" s="78" t="str">
        <f t="shared" ca="1" si="294"/>
        <v/>
      </c>
      <c r="U665" s="78" t="str">
        <f t="shared" ca="1" si="295"/>
        <v/>
      </c>
      <c r="V665" s="78"/>
      <c r="W665" s="78"/>
      <c r="X665" s="74" t="s">
        <v>34</v>
      </c>
      <c r="Y665" s="18"/>
      <c r="Z665" s="18"/>
      <c r="AA665" s="18"/>
      <c r="AD665" s="6" t="s">
        <v>35</v>
      </c>
      <c r="AE665" s="19" t="s">
        <v>36</v>
      </c>
    </row>
    <row r="666" spans="1:31" ht="14.4" x14ac:dyDescent="0.3">
      <c r="A666" s="6">
        <v>4589</v>
      </c>
      <c r="B666" s="7" t="s">
        <v>610</v>
      </c>
      <c r="C666" s="8">
        <v>1023</v>
      </c>
      <c r="D666" s="92" t="s">
        <v>76</v>
      </c>
      <c r="E666" s="6" t="s">
        <v>33</v>
      </c>
      <c r="F666" s="10">
        <v>45716</v>
      </c>
      <c r="G666" s="10">
        <v>45718</v>
      </c>
      <c r="H666" s="11">
        <v>24</v>
      </c>
      <c r="I666" s="12">
        <v>24</v>
      </c>
      <c r="J666" s="13"/>
      <c r="K666" s="36">
        <v>45716</v>
      </c>
      <c r="L666" s="11"/>
      <c r="M666" s="11"/>
      <c r="T666" s="78" t="str">
        <f t="shared" ca="1" si="294"/>
        <v/>
      </c>
      <c r="U666" s="78" t="str">
        <f t="shared" ca="1" si="295"/>
        <v/>
      </c>
      <c r="V666" s="78"/>
      <c r="W666" s="78"/>
      <c r="X666" s="74" t="s">
        <v>34</v>
      </c>
      <c r="Y666" s="18"/>
      <c r="Z666" s="18"/>
      <c r="AA666" s="18"/>
      <c r="AD666" s="6" t="s">
        <v>35</v>
      </c>
      <c r="AE666" s="19" t="s">
        <v>36</v>
      </c>
    </row>
    <row r="667" spans="1:31" ht="14.4" x14ac:dyDescent="0.3">
      <c r="A667" s="21">
        <v>4870</v>
      </c>
      <c r="B667" s="7" t="s">
        <v>611</v>
      </c>
      <c r="C667" s="8">
        <v>963</v>
      </c>
      <c r="D667" s="92" t="s">
        <v>57</v>
      </c>
      <c r="E667" s="21" t="s">
        <v>33</v>
      </c>
      <c r="F667" s="64">
        <v>45923</v>
      </c>
      <c r="G667" s="64">
        <v>45923</v>
      </c>
      <c r="H667" s="22">
        <v>10</v>
      </c>
      <c r="I667" s="23">
        <v>15</v>
      </c>
      <c r="J667" s="24"/>
      <c r="K667" s="14">
        <v>45924</v>
      </c>
      <c r="L667" s="22"/>
      <c r="M667" s="22"/>
      <c r="T667" s="82" t="str">
        <f t="shared" ca="1" si="294"/>
        <v/>
      </c>
      <c r="U667" s="82" t="str">
        <f t="shared" ca="1" si="295"/>
        <v/>
      </c>
      <c r="V667" s="75">
        <f>2</f>
        <v>2</v>
      </c>
      <c r="W667" s="83" t="s">
        <v>247</v>
      </c>
      <c r="X667" s="83" t="s">
        <v>44</v>
      </c>
      <c r="Y667" s="28"/>
      <c r="Z667" s="28"/>
      <c r="AA667" s="28"/>
      <c r="AD667" s="21" t="s">
        <v>35</v>
      </c>
      <c r="AE667" s="19" t="s">
        <v>36</v>
      </c>
    </row>
    <row r="668" spans="1:31" ht="14.4" x14ac:dyDescent="0.3">
      <c r="A668" s="6">
        <v>4673</v>
      </c>
      <c r="B668" s="7" t="s">
        <v>612</v>
      </c>
      <c r="C668" s="8">
        <v>951</v>
      </c>
      <c r="D668" s="92" t="s">
        <v>57</v>
      </c>
      <c r="E668" s="6" t="s">
        <v>33</v>
      </c>
      <c r="F668" s="10">
        <v>45799</v>
      </c>
      <c r="G668" s="10">
        <v>45799</v>
      </c>
      <c r="H668" s="11">
        <v>15</v>
      </c>
      <c r="I668" s="12">
        <v>25</v>
      </c>
      <c r="J668" s="13"/>
      <c r="K668" s="14">
        <v>45800</v>
      </c>
      <c r="L668" s="11"/>
      <c r="M668" s="11"/>
      <c r="T668" s="78" t="str">
        <f t="shared" ca="1" si="294"/>
        <v/>
      </c>
      <c r="U668" s="78" t="str">
        <f t="shared" ca="1" si="295"/>
        <v/>
      </c>
      <c r="V668" s="78"/>
      <c r="W668" s="78"/>
      <c r="X668" s="74" t="s">
        <v>34</v>
      </c>
      <c r="Y668" s="18"/>
      <c r="Z668" s="18"/>
      <c r="AA668" s="18"/>
      <c r="AD668" s="6" t="s">
        <v>35</v>
      </c>
      <c r="AE668" s="19" t="s">
        <v>36</v>
      </c>
    </row>
    <row r="669" spans="1:31" ht="14.4" x14ac:dyDescent="0.3">
      <c r="A669" s="21">
        <v>4877</v>
      </c>
      <c r="B669" s="37" t="s">
        <v>47</v>
      </c>
      <c r="C669" s="8">
        <v>951</v>
      </c>
      <c r="D669" s="92" t="s">
        <v>32</v>
      </c>
      <c r="E669" s="21" t="s">
        <v>33</v>
      </c>
      <c r="F669" s="42">
        <v>45957</v>
      </c>
      <c r="G669" s="66">
        <v>45963</v>
      </c>
      <c r="H669" s="22">
        <v>219</v>
      </c>
      <c r="I669" s="23">
        <v>229</v>
      </c>
      <c r="J669" s="24"/>
      <c r="K669" s="14">
        <v>45974</v>
      </c>
      <c r="L669" s="22"/>
      <c r="M669" s="22"/>
      <c r="T669" s="82" t="str">
        <f t="shared" ca="1" si="294"/>
        <v/>
      </c>
      <c r="U669" s="82" t="str">
        <f t="shared" ca="1" si="295"/>
        <v/>
      </c>
      <c r="V669" s="82"/>
      <c r="W669" s="83" t="s">
        <v>63</v>
      </c>
      <c r="X669" s="83" t="s">
        <v>64</v>
      </c>
      <c r="Y669" s="28"/>
      <c r="Z669" s="28"/>
      <c r="AA669" s="28"/>
      <c r="AD669" s="21" t="s">
        <v>35</v>
      </c>
      <c r="AE669" s="19" t="s">
        <v>36</v>
      </c>
    </row>
    <row r="670" spans="1:31" ht="14.4" x14ac:dyDescent="0.3">
      <c r="A670" s="6">
        <v>4520</v>
      </c>
      <c r="B670" s="7" t="s">
        <v>613</v>
      </c>
      <c r="C670" s="8">
        <v>45</v>
      </c>
      <c r="D670" s="92" t="s">
        <v>32</v>
      </c>
      <c r="E670" s="6" t="s">
        <v>33</v>
      </c>
      <c r="F670" s="10">
        <v>45667</v>
      </c>
      <c r="G670" s="10">
        <v>45667</v>
      </c>
      <c r="H670" s="11">
        <v>12</v>
      </c>
      <c r="I670" s="12">
        <v>12</v>
      </c>
      <c r="J670" s="13"/>
      <c r="K670" s="36">
        <v>45667</v>
      </c>
      <c r="L670" s="11"/>
      <c r="M670" s="11"/>
      <c r="T670" s="78" t="str">
        <f ca="1">IF(U670="","",IF(U670&lt;=3,"Excellent",IF(U670&lt;=7,"Good",IF(U670&lt;=14,"Average",IF(U670&lt;=30,"Poor",IF(U670&gt;=30,"Bad"))))))</f>
        <v/>
      </c>
      <c r="U670" s="78" t="str">
        <f t="shared" ca="1" si="295"/>
        <v/>
      </c>
      <c r="V670" s="78"/>
      <c r="W670" s="78"/>
      <c r="X670" s="74" t="s">
        <v>34</v>
      </c>
      <c r="Y670" s="18"/>
      <c r="Z670" s="18"/>
      <c r="AA670" s="18"/>
      <c r="AD670" s="6" t="s">
        <v>35</v>
      </c>
      <c r="AE670" s="19" t="s">
        <v>36</v>
      </c>
    </row>
    <row r="671" spans="1:31" ht="14.4" x14ac:dyDescent="0.3">
      <c r="A671" s="6">
        <v>4652</v>
      </c>
      <c r="B671" s="7" t="s">
        <v>614</v>
      </c>
      <c r="C671" s="8">
        <v>45</v>
      </c>
      <c r="D671" s="92" t="s">
        <v>57</v>
      </c>
      <c r="E671" s="6" t="s">
        <v>33</v>
      </c>
      <c r="F671" s="10">
        <v>45813</v>
      </c>
      <c r="G671" s="10">
        <v>45813</v>
      </c>
      <c r="H671" s="11">
        <v>45</v>
      </c>
      <c r="I671" s="12">
        <v>45</v>
      </c>
      <c r="J671" s="13"/>
      <c r="K671" s="14">
        <v>45817</v>
      </c>
      <c r="L671" s="11"/>
      <c r="M671" s="11"/>
      <c r="T671" s="78" t="str">
        <f ca="1">IF($U671="","",IF($U671&lt;=3,"Excellent",IF($U671&lt;=7,"Good",IF($U671&lt;=14,"Average",IF($U671&lt;=30,"Poor",IF($U671&gt;=30,"Bad"))))))</f>
        <v/>
      </c>
      <c r="U671" s="78" t="str">
        <f t="shared" ca="1" si="295"/>
        <v/>
      </c>
      <c r="V671" s="78"/>
      <c r="W671" s="78"/>
      <c r="X671" s="74" t="s">
        <v>34</v>
      </c>
      <c r="Y671" s="18"/>
      <c r="Z671" s="18"/>
      <c r="AA671" s="18"/>
      <c r="AD671" s="6" t="s">
        <v>35</v>
      </c>
      <c r="AE671" s="19" t="s">
        <v>36</v>
      </c>
    </row>
    <row r="672" spans="1:31" ht="14.4" x14ac:dyDescent="0.3">
      <c r="A672" s="21">
        <v>5084</v>
      </c>
      <c r="B672" s="26" t="s">
        <v>615</v>
      </c>
      <c r="C672" s="8">
        <v>790</v>
      </c>
      <c r="D672" s="92" t="s">
        <v>32</v>
      </c>
      <c r="E672" s="6" t="s">
        <v>33</v>
      </c>
      <c r="F672" s="27">
        <v>46076</v>
      </c>
      <c r="G672" s="27">
        <v>46078</v>
      </c>
      <c r="H672" s="29">
        <v>60</v>
      </c>
      <c r="I672" s="30">
        <v>85</v>
      </c>
      <c r="J672" s="21"/>
      <c r="K672" s="31">
        <v>46079</v>
      </c>
      <c r="L672" s="29"/>
      <c r="M672" s="29"/>
      <c r="N672" s="69">
        <v>46079</v>
      </c>
      <c r="O672" s="70"/>
      <c r="P672" s="70"/>
      <c r="Q672" s="71"/>
      <c r="R672" s="71" t="str">
        <f>IF(Q672,Q672-K672,"")</f>
        <v/>
      </c>
      <c r="S672" s="71" t="str">
        <f>IF(R672="","",IF(R672&lt;=4,"Excellent",IF(R672&lt;=8,"Good",IF(R672&lt;=15,"Average",IF(R672&lt;=30,"Poor",IF(R672&gt;=30,"Bad"))))))</f>
        <v/>
      </c>
      <c r="T672" s="68" t="str">
        <f ca="1">IF(U672="","",IF(U672&lt;=3,"Excellent",IF(U672&lt;=7,"Good",IF(U672&lt;=14,"Average",IF(U672&lt;=30,"Poor",IF(U672&gt;=30,"Bad"))))))</f>
        <v/>
      </c>
      <c r="U672" s="68" t="str">
        <f ca="1">IF(E672="Document", IF(#REF!="", "", TODAY() -#REF!), "")</f>
        <v/>
      </c>
      <c r="V672" s="68"/>
      <c r="W672" s="78" t="s">
        <v>53</v>
      </c>
      <c r="X672" s="78" t="s">
        <v>70</v>
      </c>
      <c r="Y672" s="75"/>
      <c r="Z672" s="75"/>
      <c r="AD672" s="21" t="s">
        <v>35</v>
      </c>
      <c r="AE672" s="19" t="s">
        <v>36</v>
      </c>
    </row>
    <row r="673" spans="1:31" ht="14.4" x14ac:dyDescent="0.3">
      <c r="A673" s="6">
        <v>4218</v>
      </c>
      <c r="B673" s="7" t="s">
        <v>616</v>
      </c>
      <c r="C673" s="8">
        <v>790</v>
      </c>
      <c r="D673" s="92" t="s">
        <v>32</v>
      </c>
      <c r="E673" s="6" t="s">
        <v>33</v>
      </c>
      <c r="F673" s="10">
        <v>45761</v>
      </c>
      <c r="G673" s="10">
        <v>45761</v>
      </c>
      <c r="H673" s="11">
        <v>20</v>
      </c>
      <c r="I673" s="12">
        <v>20</v>
      </c>
      <c r="J673" s="13"/>
      <c r="K673" s="14">
        <v>45764</v>
      </c>
      <c r="L673" s="11"/>
      <c r="M673" s="11"/>
      <c r="T673" s="78" t="str">
        <f t="shared" ref="T673:T677" ca="1" si="296">IF($U673="","",IF($U673&lt;=3,"Excellent",IF($U673&lt;=7,"Good",IF($U673&lt;=14,"Average",IF($U673&lt;=30,"Poor",IF($U673&gt;=30,"Bad"))))))</f>
        <v/>
      </c>
      <c r="U673" s="78" t="str">
        <f t="shared" ref="U673:U677" ca="1" si="297">IF(E673="Document", IF(G673="", "", TODAY() - G673), "")</f>
        <v/>
      </c>
      <c r="V673" s="73">
        <f>3</f>
        <v>3</v>
      </c>
      <c r="W673" s="78"/>
      <c r="X673" s="74" t="s">
        <v>359</v>
      </c>
      <c r="Y673" s="18"/>
      <c r="Z673" s="18"/>
      <c r="AA673" s="18"/>
      <c r="AD673" s="6" t="s">
        <v>35</v>
      </c>
      <c r="AE673" s="19" t="s">
        <v>36</v>
      </c>
    </row>
    <row r="674" spans="1:31" ht="14.4" x14ac:dyDescent="0.3">
      <c r="A674" s="21">
        <v>4971</v>
      </c>
      <c r="B674" s="37" t="s">
        <v>617</v>
      </c>
      <c r="C674" s="8">
        <v>790</v>
      </c>
      <c r="D674" s="92" t="s">
        <v>69</v>
      </c>
      <c r="E674" s="21" t="s">
        <v>33</v>
      </c>
      <c r="F674" s="38">
        <v>46008</v>
      </c>
      <c r="G674" s="38">
        <v>46008</v>
      </c>
      <c r="H674" s="22">
        <v>40</v>
      </c>
      <c r="I674" s="23">
        <v>40</v>
      </c>
      <c r="J674" s="24"/>
      <c r="K674" s="14">
        <v>46008</v>
      </c>
      <c r="L674" s="22"/>
      <c r="M674" s="22"/>
      <c r="T674" s="82" t="str">
        <f t="shared" ca="1" si="296"/>
        <v/>
      </c>
      <c r="U674" s="82" t="str">
        <f t="shared" ca="1" si="297"/>
        <v/>
      </c>
      <c r="V674" s="82"/>
      <c r="W674" s="83" t="s">
        <v>618</v>
      </c>
      <c r="X674" s="83" t="s">
        <v>105</v>
      </c>
      <c r="Y674" s="28"/>
      <c r="Z674" s="28"/>
      <c r="AA674" s="28"/>
      <c r="AD674" s="21" t="s">
        <v>35</v>
      </c>
      <c r="AE674" s="19" t="s">
        <v>36</v>
      </c>
    </row>
    <row r="675" spans="1:31" ht="14.4" x14ac:dyDescent="0.3">
      <c r="A675" s="6">
        <v>4533</v>
      </c>
      <c r="B675" s="7" t="s">
        <v>619</v>
      </c>
      <c r="C675" s="8">
        <v>147</v>
      </c>
      <c r="D675" s="92" t="s">
        <v>57</v>
      </c>
      <c r="E675" s="6" t="s">
        <v>33</v>
      </c>
      <c r="F675" s="10">
        <v>45680</v>
      </c>
      <c r="G675" s="10">
        <v>45680</v>
      </c>
      <c r="H675" s="11">
        <v>10</v>
      </c>
      <c r="I675" s="12">
        <v>20</v>
      </c>
      <c r="J675" s="13"/>
      <c r="K675" s="14">
        <v>45692</v>
      </c>
      <c r="L675" s="11"/>
      <c r="M675" s="11"/>
      <c r="T675" s="78" t="str">
        <f t="shared" ca="1" si="296"/>
        <v/>
      </c>
      <c r="U675" s="78" t="str">
        <f t="shared" ca="1" si="297"/>
        <v/>
      </c>
      <c r="V675" s="73">
        <f>12</f>
        <v>12</v>
      </c>
      <c r="W675" s="74" t="s">
        <v>620</v>
      </c>
      <c r="X675" s="74" t="s">
        <v>159</v>
      </c>
      <c r="Y675" s="18"/>
      <c r="Z675" s="18"/>
      <c r="AA675" s="18"/>
      <c r="AD675" s="6" t="s">
        <v>35</v>
      </c>
      <c r="AE675" s="19" t="s">
        <v>36</v>
      </c>
    </row>
    <row r="676" spans="1:31" ht="14.4" x14ac:dyDescent="0.3">
      <c r="A676" s="21">
        <v>4938</v>
      </c>
      <c r="B676" s="37" t="s">
        <v>47</v>
      </c>
      <c r="C676" s="8">
        <v>147</v>
      </c>
      <c r="D676" s="92" t="s">
        <v>32</v>
      </c>
      <c r="E676" s="21" t="s">
        <v>33</v>
      </c>
      <c r="F676" s="38">
        <v>45999</v>
      </c>
      <c r="G676" s="38">
        <v>46005</v>
      </c>
      <c r="H676" s="22">
        <v>352</v>
      </c>
      <c r="I676" s="23">
        <v>352</v>
      </c>
      <c r="J676" s="24"/>
      <c r="K676" s="14">
        <v>46013</v>
      </c>
      <c r="L676" s="22"/>
      <c r="M676" s="22"/>
      <c r="T676" s="82" t="str">
        <f t="shared" ca="1" si="296"/>
        <v/>
      </c>
      <c r="U676" s="82" t="str">
        <f t="shared" ca="1" si="297"/>
        <v/>
      </c>
      <c r="V676" s="82"/>
      <c r="W676" s="83" t="s">
        <v>233</v>
      </c>
      <c r="X676" s="83" t="s">
        <v>105</v>
      </c>
      <c r="Y676" s="28"/>
      <c r="Z676" s="28"/>
      <c r="AA676" s="28"/>
      <c r="AD676" s="21" t="s">
        <v>35</v>
      </c>
      <c r="AE676" s="19" t="s">
        <v>36</v>
      </c>
    </row>
    <row r="677" spans="1:31" ht="14.4" x14ac:dyDescent="0.3">
      <c r="A677" s="6">
        <v>4610</v>
      </c>
      <c r="B677" s="7" t="s">
        <v>621</v>
      </c>
      <c r="C677" s="8">
        <v>152</v>
      </c>
      <c r="D677" s="92" t="s">
        <v>76</v>
      </c>
      <c r="E677" s="6" t="s">
        <v>33</v>
      </c>
      <c r="F677" s="10">
        <v>45733</v>
      </c>
      <c r="G677" s="10">
        <v>45733</v>
      </c>
      <c r="H677" s="11">
        <v>13</v>
      </c>
      <c r="I677" s="12">
        <v>13</v>
      </c>
      <c r="J677" s="13"/>
      <c r="K677" s="36">
        <v>45736</v>
      </c>
      <c r="L677" s="11"/>
      <c r="M677" s="11"/>
      <c r="T677" s="78" t="str">
        <f t="shared" ca="1" si="296"/>
        <v/>
      </c>
      <c r="U677" s="78" t="str">
        <f t="shared" ca="1" si="297"/>
        <v/>
      </c>
      <c r="V677" s="78"/>
      <c r="W677" s="78"/>
      <c r="X677" s="74" t="s">
        <v>34</v>
      </c>
      <c r="Y677" s="18"/>
      <c r="Z677" s="18"/>
      <c r="AA677" s="18"/>
      <c r="AD677" s="6" t="s">
        <v>35</v>
      </c>
      <c r="AE677" s="19" t="s">
        <v>36</v>
      </c>
    </row>
    <row r="678" spans="1:31" ht="14.4" x14ac:dyDescent="0.3">
      <c r="A678" s="8">
        <v>4989</v>
      </c>
      <c r="B678" s="43" t="s">
        <v>37</v>
      </c>
      <c r="C678" s="8">
        <v>121</v>
      </c>
      <c r="D678" s="95" t="s">
        <v>38</v>
      </c>
      <c r="E678" s="62" t="s">
        <v>33</v>
      </c>
      <c r="F678" s="45">
        <v>46028</v>
      </c>
      <c r="G678" s="45">
        <v>46034</v>
      </c>
      <c r="H678" s="46">
        <v>249</v>
      </c>
      <c r="I678" s="47">
        <v>334</v>
      </c>
      <c r="J678" s="8"/>
      <c r="K678" s="48">
        <v>46042</v>
      </c>
      <c r="L678" s="46"/>
      <c r="M678" s="46"/>
      <c r="N678" s="100">
        <v>46042</v>
      </c>
      <c r="O678" s="87"/>
      <c r="P678" s="87"/>
      <c r="Q678" s="88"/>
      <c r="R678" s="88" t="str">
        <f>IF(Q678,Q678-K678,"")</f>
        <v/>
      </c>
      <c r="S678" s="88" t="str">
        <f>IF(R678="","",IF(R678&lt;=4,"Excellent",IF(R678&lt;=8,"Good",IF(R678&lt;=15,"Average",IF(R678&lt;=30,"Poor",IF(R678&gt;=30,"Bad"))))))</f>
        <v/>
      </c>
      <c r="T678" s="72" t="str">
        <f ca="1">IF(U678="","",IF(U678&lt;=3,"Excellent",IF(U678&lt;=7,"Good",IF(U678&lt;=14,"Average",IF(U678&lt;=30,"Poor",IF(U678&gt;=30,"Bad"))))))</f>
        <v/>
      </c>
      <c r="U678" s="73" t="str">
        <f ca="1">IF(E678="Document", IF(#REF!="", "", TODAY() -#REF!), "")</f>
        <v/>
      </c>
      <c r="V678" s="73"/>
      <c r="W678" s="74" t="s">
        <v>86</v>
      </c>
      <c r="X678" s="74" t="s">
        <v>61</v>
      </c>
      <c r="Y678" s="89"/>
      <c r="Z678" s="89"/>
      <c r="AD678" s="8" t="s">
        <v>35</v>
      </c>
      <c r="AE678" s="19" t="s">
        <v>36</v>
      </c>
    </row>
    <row r="679" spans="1:31" ht="14.4" x14ac:dyDescent="0.3">
      <c r="A679" s="6">
        <v>4618</v>
      </c>
      <c r="B679" s="7" t="s">
        <v>535</v>
      </c>
      <c r="C679" s="8">
        <v>1031</v>
      </c>
      <c r="D679" s="92" t="s">
        <v>202</v>
      </c>
      <c r="E679" s="6" t="s">
        <v>33</v>
      </c>
      <c r="F679" s="10">
        <v>45774</v>
      </c>
      <c r="G679" s="10">
        <v>45828</v>
      </c>
      <c r="H679" s="11">
        <v>1148</v>
      </c>
      <c r="I679" s="12">
        <v>1194</v>
      </c>
      <c r="J679" s="13"/>
      <c r="K679" s="14">
        <v>45831</v>
      </c>
      <c r="L679" s="11"/>
      <c r="M679" s="11"/>
      <c r="T679" s="78" t="str">
        <f t="shared" ref="T679:T686" ca="1" si="298">IF($U679="","",IF($U679&lt;=3,"Excellent",IF($U679&lt;=7,"Good",IF($U679&lt;=14,"Average",IF($U679&lt;=30,"Poor",IF($U679&gt;=30,"Bad"))))))</f>
        <v/>
      </c>
      <c r="U679" s="78" t="str">
        <f t="shared" ref="U679:U686" ca="1" si="299">IF(E679="Document", IF(G679="", "", TODAY() - G679), "")</f>
        <v/>
      </c>
      <c r="V679" s="78"/>
      <c r="W679" s="74" t="s">
        <v>106</v>
      </c>
      <c r="X679" s="74" t="s">
        <v>622</v>
      </c>
      <c r="Y679" s="18"/>
      <c r="Z679" s="18"/>
      <c r="AA679" s="18"/>
      <c r="AD679" s="6" t="s">
        <v>35</v>
      </c>
      <c r="AE679" s="19" t="s">
        <v>36</v>
      </c>
    </row>
    <row r="680" spans="1:31" ht="14.4" x14ac:dyDescent="0.3">
      <c r="A680" s="6">
        <v>4618</v>
      </c>
      <c r="B680" s="7" t="s">
        <v>535</v>
      </c>
      <c r="C680" s="8">
        <v>1031</v>
      </c>
      <c r="D680" s="92" t="s">
        <v>202</v>
      </c>
      <c r="E680" s="6" t="s">
        <v>33</v>
      </c>
      <c r="F680" s="10">
        <v>45774</v>
      </c>
      <c r="G680" s="10">
        <v>45828</v>
      </c>
      <c r="H680" s="11">
        <v>1148</v>
      </c>
      <c r="I680" s="12">
        <v>1194</v>
      </c>
      <c r="J680" s="13"/>
      <c r="K680" s="14">
        <v>45831</v>
      </c>
      <c r="L680" s="11"/>
      <c r="M680" s="11"/>
      <c r="T680" s="78" t="str">
        <f t="shared" ca="1" si="298"/>
        <v/>
      </c>
      <c r="U680" s="78" t="str">
        <f t="shared" ca="1" si="299"/>
        <v/>
      </c>
      <c r="V680" s="78"/>
      <c r="W680" s="74" t="s">
        <v>106</v>
      </c>
      <c r="X680" s="74" t="s">
        <v>622</v>
      </c>
      <c r="Y680" s="18"/>
      <c r="Z680" s="18"/>
      <c r="AA680" s="18"/>
      <c r="AD680" s="6" t="s">
        <v>35</v>
      </c>
      <c r="AE680" s="19" t="s">
        <v>36</v>
      </c>
    </row>
    <row r="681" spans="1:31" ht="14.4" x14ac:dyDescent="0.3">
      <c r="A681" s="21">
        <v>4842</v>
      </c>
      <c r="B681" s="7" t="s">
        <v>95</v>
      </c>
      <c r="C681" s="8">
        <v>197</v>
      </c>
      <c r="D681" s="92" t="s">
        <v>32</v>
      </c>
      <c r="E681" s="21" t="s">
        <v>33</v>
      </c>
      <c r="F681" s="10">
        <v>45925</v>
      </c>
      <c r="G681" s="64">
        <v>45940</v>
      </c>
      <c r="H681" s="22">
        <v>267</v>
      </c>
      <c r="I681" s="23">
        <v>327</v>
      </c>
      <c r="J681" s="24"/>
      <c r="K681" s="14">
        <v>45943</v>
      </c>
      <c r="L681" s="22"/>
      <c r="M681" s="22"/>
      <c r="T681" s="82" t="str">
        <f t="shared" ca="1" si="298"/>
        <v/>
      </c>
      <c r="U681" s="82" t="str">
        <f t="shared" ca="1" si="299"/>
        <v/>
      </c>
      <c r="V681" s="82"/>
      <c r="W681" s="83" t="s">
        <v>623</v>
      </c>
      <c r="X681" s="83" t="s">
        <v>275</v>
      </c>
      <c r="Y681" s="28"/>
      <c r="Z681" s="28"/>
      <c r="AA681" s="28"/>
      <c r="AD681" s="21" t="s">
        <v>35</v>
      </c>
      <c r="AE681" s="19" t="s">
        <v>36</v>
      </c>
    </row>
    <row r="682" spans="1:31" ht="14.4" x14ac:dyDescent="0.3">
      <c r="A682" s="6">
        <v>4675</v>
      </c>
      <c r="B682" s="7" t="s">
        <v>624</v>
      </c>
      <c r="C682" s="8">
        <v>612</v>
      </c>
      <c r="D682" s="92" t="s">
        <v>32</v>
      </c>
      <c r="E682" s="6" t="s">
        <v>33</v>
      </c>
      <c r="F682" s="10">
        <v>45800</v>
      </c>
      <c r="G682" s="10">
        <v>45804</v>
      </c>
      <c r="H682" s="11">
        <v>12</v>
      </c>
      <c r="I682" s="12">
        <v>12</v>
      </c>
      <c r="J682" s="13"/>
      <c r="K682" s="14">
        <v>45804</v>
      </c>
      <c r="L682" s="11"/>
      <c r="M682" s="11"/>
      <c r="T682" s="78" t="str">
        <f t="shared" ca="1" si="298"/>
        <v/>
      </c>
      <c r="U682" s="78" t="str">
        <f t="shared" ca="1" si="299"/>
        <v/>
      </c>
      <c r="V682" s="78"/>
      <c r="W682" s="78"/>
      <c r="X682" s="74" t="s">
        <v>34</v>
      </c>
      <c r="Y682" s="18"/>
      <c r="Z682" s="18"/>
      <c r="AA682" s="18"/>
      <c r="AD682" s="6" t="s">
        <v>35</v>
      </c>
      <c r="AE682" s="19" t="s">
        <v>36</v>
      </c>
    </row>
    <row r="683" spans="1:31" ht="14.4" x14ac:dyDescent="0.3">
      <c r="A683" s="21">
        <v>4744</v>
      </c>
      <c r="B683" s="7" t="s">
        <v>625</v>
      </c>
      <c r="C683" s="8">
        <v>612</v>
      </c>
      <c r="D683" s="92" t="s">
        <v>32</v>
      </c>
      <c r="E683" s="21" t="s">
        <v>33</v>
      </c>
      <c r="F683" s="10">
        <v>45860</v>
      </c>
      <c r="G683" s="10">
        <v>45861</v>
      </c>
      <c r="H683" s="22">
        <v>21</v>
      </c>
      <c r="I683" s="23">
        <v>21</v>
      </c>
      <c r="J683" s="24"/>
      <c r="K683" s="14">
        <v>45862</v>
      </c>
      <c r="L683" s="22"/>
      <c r="M683" s="22"/>
      <c r="T683" s="82" t="str">
        <f t="shared" ca="1" si="298"/>
        <v/>
      </c>
      <c r="U683" s="82" t="str">
        <f t="shared" ca="1" si="299"/>
        <v/>
      </c>
      <c r="V683" s="82"/>
      <c r="W683" s="83" t="s">
        <v>543</v>
      </c>
      <c r="X683" s="83" t="s">
        <v>195</v>
      </c>
      <c r="Y683" s="28"/>
      <c r="Z683" s="28"/>
      <c r="AA683" s="28"/>
      <c r="AD683" s="21" t="s">
        <v>35</v>
      </c>
      <c r="AE683" s="19" t="s">
        <v>36</v>
      </c>
    </row>
    <row r="684" spans="1:31" ht="14.4" x14ac:dyDescent="0.3">
      <c r="A684" s="21">
        <v>4804</v>
      </c>
      <c r="B684" s="55" t="s">
        <v>626</v>
      </c>
      <c r="C684" s="8">
        <v>362</v>
      </c>
      <c r="D684" s="92" t="s">
        <v>69</v>
      </c>
      <c r="E684" s="21" t="s">
        <v>33</v>
      </c>
      <c r="F684" s="10">
        <v>45875</v>
      </c>
      <c r="G684" s="10">
        <v>45875</v>
      </c>
      <c r="H684" s="22">
        <v>22</v>
      </c>
      <c r="I684" s="23">
        <v>22</v>
      </c>
      <c r="J684" s="24"/>
      <c r="K684" s="14">
        <v>45875</v>
      </c>
      <c r="L684" s="22"/>
      <c r="M684" s="22"/>
      <c r="T684" s="82" t="str">
        <f t="shared" ca="1" si="298"/>
        <v/>
      </c>
      <c r="U684" s="82" t="str">
        <f t="shared" ca="1" si="299"/>
        <v/>
      </c>
      <c r="V684" s="82"/>
      <c r="W684" s="83" t="s">
        <v>627</v>
      </c>
      <c r="X684" s="83" t="s">
        <v>372</v>
      </c>
      <c r="Y684" s="28"/>
      <c r="Z684" s="28"/>
      <c r="AA684" s="28"/>
      <c r="AD684" s="21" t="s">
        <v>35</v>
      </c>
      <c r="AE684" s="19" t="s">
        <v>36</v>
      </c>
    </row>
    <row r="685" spans="1:31" ht="14.4" x14ac:dyDescent="0.3">
      <c r="A685" s="6">
        <v>4660</v>
      </c>
      <c r="B685" s="7" t="s">
        <v>504</v>
      </c>
      <c r="C685" s="8">
        <v>1030</v>
      </c>
      <c r="D685" s="92" t="s">
        <v>202</v>
      </c>
      <c r="E685" s="6" t="s">
        <v>33</v>
      </c>
      <c r="F685" s="10">
        <v>45817</v>
      </c>
      <c r="G685" s="10">
        <v>45859</v>
      </c>
      <c r="H685" s="12">
        <v>1143</v>
      </c>
      <c r="I685" s="12">
        <v>1143</v>
      </c>
      <c r="J685" s="13"/>
      <c r="K685" s="14">
        <v>45859</v>
      </c>
      <c r="L685" s="11"/>
      <c r="M685" s="11"/>
      <c r="T685" s="78" t="str">
        <f t="shared" ca="1" si="298"/>
        <v/>
      </c>
      <c r="U685" s="78" t="str">
        <f t="shared" ca="1" si="299"/>
        <v/>
      </c>
      <c r="V685" s="78"/>
      <c r="W685" s="74" t="s">
        <v>263</v>
      </c>
      <c r="X685" s="74" t="s">
        <v>441</v>
      </c>
      <c r="Y685" s="18"/>
      <c r="Z685" s="18"/>
      <c r="AA685" s="18"/>
      <c r="AD685" s="6" t="s">
        <v>35</v>
      </c>
      <c r="AE685" s="19" t="s">
        <v>36</v>
      </c>
    </row>
    <row r="686" spans="1:31" ht="14.4" x14ac:dyDescent="0.3">
      <c r="A686" s="6">
        <v>4660</v>
      </c>
      <c r="B686" s="7" t="s">
        <v>504</v>
      </c>
      <c r="C686" s="8">
        <v>1030</v>
      </c>
      <c r="D686" s="92" t="s">
        <v>202</v>
      </c>
      <c r="E686" s="6" t="s">
        <v>33</v>
      </c>
      <c r="F686" s="10">
        <v>45817</v>
      </c>
      <c r="G686" s="10">
        <v>45859</v>
      </c>
      <c r="H686" s="12">
        <v>1143</v>
      </c>
      <c r="I686" s="12">
        <v>1143</v>
      </c>
      <c r="J686" s="13"/>
      <c r="K686" s="14">
        <v>45859</v>
      </c>
      <c r="L686" s="11"/>
      <c r="M686" s="11"/>
      <c r="T686" s="78" t="str">
        <f t="shared" ca="1" si="298"/>
        <v/>
      </c>
      <c r="U686" s="78" t="str">
        <f t="shared" ca="1" si="299"/>
        <v/>
      </c>
      <c r="V686" s="78"/>
      <c r="W686" s="74" t="s">
        <v>263</v>
      </c>
      <c r="X686" s="74" t="s">
        <v>441</v>
      </c>
      <c r="Y686" s="18"/>
      <c r="Z686" s="18"/>
      <c r="AA686" s="18"/>
      <c r="AD686" s="6" t="s">
        <v>35</v>
      </c>
      <c r="AE686" s="19" t="s">
        <v>36</v>
      </c>
    </row>
  </sheetData>
  <autoFilter ref="A1:AE686" xr:uid="{00000000-0009-0000-0000-000001000000}"/>
  <dataValidations count="2">
    <dataValidation type="list" allowBlank="1" showErrorMessage="1" sqref="AD2:AD5 AD7:AD10 AD12:AD15 AD18:AD20 AD23:AD36 AD38:AD41 AD44 AD46:AD52 AD58:AD62 AD64 AD67:AD68 AD71:AD73 AD75:AD81 AD87:AD91 AD93 AD95:AD99 AD101:AD103 AD105:AD108 AD110:AD112 AD114:AD118 AD120 AD127:AD130 AD132 AD134:AD136 AD140:AD146 AD148:AD153 AD155 AD157:AD158 AD160:AD163 AD165:AD172 AD174:AD182 AD184:AD186 AD189 AD192:AD196 AD199:AD204 AD206 AD208:AD211 AD213:AD226 AD228:AD232 AD234:AD238 AD240:AD242 AD244:AD259 AD261:AD265 AD267:AD269 AD271:AD275 AD277:AD278 AD281 AD283:AD291 AD293 AD295:AD296 AD298:AD305 AD307:AD308 AD310:AD311 AD313:AD325 AD328:AD330 AD332 AD334 AD337:AD345 AD347:AD350 AD352:AD356 AD359:AD362 AD364:AD367 AD369 AD371:AD377 AD380:AD384 AD387:AD395 AD398:AD404 AD406:AD409 AD411:AD413 AD415:AD423 AD427 AD429:AD435 AD437:AD438 AD440:AD445 AD448:AD450 AD452:AD458 AD460:AD464 AD466:AD467 AD470:AD472 AD474:AD481 AD483:AD487 AD489:AD490 AD494 AD497:AD503 AD505:AD507 AD509:AD520 AD523:AD533 AD536:AD568 AD570:AD578 AD580:AD581 AD583:AD592 AD596 AD598:AD602 AD606:AD607 AD612:AD613 AD615:AD618 AD621:AD623 AD626:AD638 AD640:AD642 AD645:AD652 AD657:AD671 AD673:AD677 AD679:AD686 D2:D5 D7:D10 D12:D15 D18:D20 D23:D36 D38:D41 D44 D46:D52 D58:D62 D64 D67:D68 D71:D73 D75:D81 D87:D91 D93 D95:D99 D101:D103 D105:D108 D110:D112 D114:D118 D120 D127:D130 D132 D134:D136 D140:D146 D148:D153 D155 D157:D158 D160:D163 D165:D172 D174:D182 D184:D186 D189 D192:D196 D199:D204 D206 D208:D211 D213:D226 D228:D232 D234:D238 D240:D242 D244:D259 D261:D265 D267:D269 D271:D275 D277:D278 D281 D283:D291 D293 D295:D296 D298:D305 D307:D308 D310:D311 D313:D325 D328:D330 D332 D334 D337:D345 D347:D350 D352:D356 D359:D362 D364:D367 D369 D371:D377 D380:D384 D387:D395 D398:D404 D406:D409 D411:D413 D415:D423 D427 D429:D435 D437:D438 D440:D445 D448:D450 D452:D458 D460:D464 D466:D467 D470:D472 D474:D481 D483:D487 D489:D490 D494 D497:D503 D505:D507 D509:D520 D523:D533 D536:D568 D570:D578 D580:D581 D583:D592 D596 D598:D602 D606:D607 D612:D613 D615:D618 D621:D623 D626:D638 D640:D642 D645:D652 D657:D671 D673:D677 D679:D686" xr:uid="{00000000-0002-0000-0100-000000000000}">
      <formula1>#REF!</formula1>
    </dataValidation>
    <dataValidation type="list" allowBlank="1" sqref="E2:E5 E7:E10 E12:E15 E18:E20 E23:E36 E38:E41 E44 E46:E52 E58:E62 E64 E67:E68 E71:E73 E75:E81 E87:E91 E93 E95:E99 E101:E103 E105:E108 E110:E112 E114:E118 E120 E127:E130 E132 E134:E136 E140:E146 E148:E153 E155 E157:E158 E160:E163 E165:E172 E174:E182 E184:E186 E189 E192:E196 E199:E204 E206 E208:E211 E213:E226 E228:E232 E234:E238 E240:E242 E244:E259 E261:E265 E267:E269 E271:E275 E277:E278 E281 E283:E291 E293 E295:E296 E298:E305 E307:E308 E310:E311 E313:E325 E328:E330 E332 E334 E337:E345 E347:E350 E352:E356 E359:E362 E364:E367 E369 E371:E377 E380:E384 E387:E395 E398:E404 E406:E409 E411:E413 E415:E423 E427 E429:E435 E437:E438 E440:E445 E448:E450 E452:E458 E460:E464 E466:E467 E470:E472 E474:E481 E483:E487 E489:E490 E494 E497:E503 E505:E507 E509:E520 E523:E533 E536:E568 E570:E578 E580:E581 E583:E592 E596 E598:E602 E606:E607 E612:E613 E615:E618 E621:E623 E626:E638 E640:E642 E645:E652 E657:E671 E673:E677 E679:E686" xr:uid="{00000000-0002-0000-0100-000008000000}">
      <formula1>#REF!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'List Config'!#REF!</xm:f>
          </x14:formula1>
          <xm:sqref>D6:E6 D11:E11 D16:E17 D21:E22 D37:E37 D42:E43 D45:E45 D53:E57 D63:E63 D65:E66 D69:E70 D74:E74 D82:E86 D92:E92 D94:E94 D100:E100 D104:E104 D109:E109 D113:E113 D119:E119 D121:E126 D131:E131 D133:E133 D137:E139 D147:E147 D154:E154 D156:E156 D159:E159 D164:E164 D173:E173 D183:E183 D187:E188 D190:E191 D197:E198 D205:E205 D207:E207 D212:E212 D227:E227 D233:E233 D239:E239 D243:E243 D260:E260 D266:E266 D270:E270 D276:E276 D279:E280 D282:E282 D292:E292 D294:E294 D297:E297 D306:E306 D309:E309 D312:E312 D326:E327 D331:E331 D333:E333 D335:E336 D346:E346 D351:E351 D357:E358 D363:E363 D368:E368 D370:E370 D378:E379 D385:E386 D396:E397 D405:E405 D410:E410 D414:E414 D424:E426 D428:E428 D436:E436 D439:E439 D446:E447 D451:E451 D459:E459 D465:E465 D468:E469 D473:E473 D482:E482 D488:E488 D491:E493 D495:E496 D504:E504 D508:E508 D521:E522 D534:E535 D569:E569 D579:E579 D582:E582 D593:E595 D597:E597 D603:E605 D608:E611 D614:E614 D619:E620 D624:E625 D639:E639 D643:E644 D653:E656 D672:E672 D678:E678</xm:sqref>
        </x14:dataValidation>
        <x14:dataValidation type="list" allowBlank="1" showErrorMessage="1" xr:uid="{00000000-0002-0000-0100-000004000000}">
          <x14:formula1>
            <xm:f>'List Config'!#REF!</xm:f>
          </x14:formula1>
          <xm:sqref>AD6 AD11 AD16:AD17 AD21:AD22 AD37 AD42:AD43 AD45 AD53:AD57 AD63 AD65:AD66 AD69:AD70 AD74 AD82:AD86 AD92 AD94 AD100 AD104 AD109 AD113 AD119 AD121:AD126 AD131 AD133 AD137:AD139 AD147 AD154 AD156 AD159 AD164 AD173 AD183 AD187:AD188 AD190:AD191 AD197:AD198 AD205 AD207 AD212 AD227 AD233 AD239 AD243 AD260 AD266 AD270 AD276 AD279:AD280 AD282 AD292 AD294 AD297 AD306 AD309 AD312 AD326:AD327 AD331 AD333 AD335:AD336 AD346 AD351 AD357:AD358 AD363 AD368 AD370 AD378:AD379 AD385:AD386 AD396:AD397 AD405 AD410 AD414 AD424:AD426 AD428 AD436 AD439 AD446:AD447 AD451 AD459 AD465 AD468:AD469 AD473 AD482 AD488 AD491:AD493 AD495:AD496 AD504 AD508 AD521:AD522 AD534:AD535 AD569 AD579 AD582 AD593:AD595 AD597 AD603:AD605 AD608:AD611 AD614 AD619:AD620 AD624:AD625 AD639 AD643:AD644 AD653:AD656 AD672 AD678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PMS Power Pro</cp:lastModifiedBy>
  <dcterms:modified xsi:type="dcterms:W3CDTF">2026-04-23T03:31:04Z</dcterms:modified>
</cp:coreProperties>
</file>